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codeName="ThisWorkbook"/>
  <xr:revisionPtr revIDLastSave="0" documentId="13_ncr:1_{B39806AA-1149-4CB5-BFAC-24C30B536727}" xr6:coauthVersionLast="47" xr6:coauthVersionMax="47" xr10:uidLastSave="{00000000-0000-0000-0000-000000000000}"/>
  <bookViews>
    <workbookView xWindow="-110" yWindow="-110" windowWidth="25820" windowHeight="13900" tabRatio="733" xr2:uid="{00000000-000D-0000-FFFF-FFFF00000000}"/>
  </bookViews>
  <sheets>
    <sheet name="DACA_Requests_by_FY" sheetId="31" r:id="rId1"/>
    <sheet name="DACA_FY25_Requests_by_Quarter" sheetId="32" r:id="rId2"/>
    <sheet name="DACA_COB" sheetId="33" r:id="rId3"/>
    <sheet name="DACA_State" sheetId="34" r:id="rId4"/>
  </sheets>
  <definedNames>
    <definedName name="_xlnm.Print_Tit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34" l="1"/>
</calcChain>
</file>

<file path=xl/sharedStrings.xml><?xml version="1.0" encoding="utf-8"?>
<sst xmlns="http://schemas.openxmlformats.org/spreadsheetml/2006/main" count="246" uniqueCount="181">
  <si>
    <t>Total Cumulative</t>
  </si>
  <si>
    <t>Q1. October - December</t>
  </si>
  <si>
    <t>Mexico</t>
  </si>
  <si>
    <t>El Salvador</t>
  </si>
  <si>
    <t>Guatemala</t>
  </si>
  <si>
    <t>Honduras</t>
  </si>
  <si>
    <t>Peru</t>
  </si>
  <si>
    <t>Brazil</t>
  </si>
  <si>
    <t>Ecuador</t>
  </si>
  <si>
    <t>Colombia</t>
  </si>
  <si>
    <t>Philippines</t>
  </si>
  <si>
    <t>Argentina</t>
  </si>
  <si>
    <t>India</t>
  </si>
  <si>
    <t>Jamaica</t>
  </si>
  <si>
    <t>Venezuela</t>
  </si>
  <si>
    <t>Dominican Republic</t>
  </si>
  <si>
    <t>Uruguay</t>
  </si>
  <si>
    <t>Bolivia</t>
  </si>
  <si>
    <t>Costa Rica</t>
  </si>
  <si>
    <t>Chile</t>
  </si>
  <si>
    <t>Poland</t>
  </si>
  <si>
    <t>Pakistan</t>
  </si>
  <si>
    <t>Nicaragua</t>
  </si>
  <si>
    <t>Guyana</t>
  </si>
  <si>
    <t>All Others</t>
  </si>
  <si>
    <t>California</t>
  </si>
  <si>
    <t>Texas</t>
  </si>
  <si>
    <t>Illinois</t>
  </si>
  <si>
    <t>New York</t>
  </si>
  <si>
    <t>Florida</t>
  </si>
  <si>
    <t>Arizona</t>
  </si>
  <si>
    <t>North Carolina</t>
  </si>
  <si>
    <t>Georgia</t>
  </si>
  <si>
    <t>New Jersey</t>
  </si>
  <si>
    <t>Washington</t>
  </si>
  <si>
    <t>Colorado</t>
  </si>
  <si>
    <t>Nevada</t>
  </si>
  <si>
    <t>Oregon</t>
  </si>
  <si>
    <t>Virginia</t>
  </si>
  <si>
    <t>Indiana</t>
  </si>
  <si>
    <t>Utah</t>
  </si>
  <si>
    <t>Maryland</t>
  </si>
  <si>
    <t>Tennessee</t>
  </si>
  <si>
    <t>Wisconsin</t>
  </si>
  <si>
    <t>Oklahoma</t>
  </si>
  <si>
    <t>Massachusetts</t>
  </si>
  <si>
    <t>South Carolina</t>
  </si>
  <si>
    <t>Kansas</t>
  </si>
  <si>
    <t>New Mexico</t>
  </si>
  <si>
    <t>Minnesota</t>
  </si>
  <si>
    <t>Michigan</t>
  </si>
  <si>
    <t>Pennsylvania</t>
  </si>
  <si>
    <t>Arkansas</t>
  </si>
  <si>
    <t>Alabama</t>
  </si>
  <si>
    <t>Ohio</t>
  </si>
  <si>
    <t>Connecticut</t>
  </si>
  <si>
    <t>Missouri</t>
  </si>
  <si>
    <t>Nebraska</t>
  </si>
  <si>
    <t>Idaho</t>
  </si>
  <si>
    <t>Kentucky</t>
  </si>
  <si>
    <t>Iowa</t>
  </si>
  <si>
    <t>Louisiana</t>
  </si>
  <si>
    <t>Delaware</t>
  </si>
  <si>
    <t>Mississippi</t>
  </si>
  <si>
    <t>Rhode Island</t>
  </si>
  <si>
    <t>Wyoming</t>
  </si>
  <si>
    <t>Hawaii</t>
  </si>
  <si>
    <t>New Hampshire</t>
  </si>
  <si>
    <t>South Dakota</t>
  </si>
  <si>
    <t>North Dakota</t>
  </si>
  <si>
    <t>West Virginia</t>
  </si>
  <si>
    <t>Puerto Rico</t>
  </si>
  <si>
    <t>Alaska</t>
  </si>
  <si>
    <t>Montana</t>
  </si>
  <si>
    <t>Maine</t>
  </si>
  <si>
    <t>Virgin Islands</t>
  </si>
  <si>
    <t>Vermont</t>
  </si>
  <si>
    <t>Guam</t>
  </si>
  <si>
    <t>American Samoa</t>
  </si>
  <si>
    <t>Palau</t>
  </si>
  <si>
    <t>Marshall Islands</t>
  </si>
  <si>
    <t>Not Reported</t>
  </si>
  <si>
    <t>Requests by Intake and Case Status, by Fiscal Year</t>
  </si>
  <si>
    <t>Requests by Intake and Case Status</t>
  </si>
  <si>
    <t>Period</t>
  </si>
  <si>
    <t>Fiscal Year - Total</t>
  </si>
  <si>
    <t>2012 Initial</t>
  </si>
  <si>
    <t>2013 Initial</t>
  </si>
  <si>
    <t>Requests by Intake and Case Status, Current Fiscal Year by Quarter</t>
  </si>
  <si>
    <t>Table Key</t>
  </si>
  <si>
    <t>- Represents zero or rounds to 0.0</t>
  </si>
  <si>
    <t>References:</t>
  </si>
  <si>
    <t>Notes:</t>
  </si>
  <si>
    <t xml:space="preserve">1) Some requests approved, denied, or pending a decision may have been received in previous reporting periods. </t>
  </si>
  <si>
    <t>2) The report reflects the most up-to-date estimate available at the time the report is generated.</t>
  </si>
  <si>
    <t>3) The Quarterly Report totals may not match the totals provided within the Demographics Reports due to differences in how the data is generated.</t>
  </si>
  <si>
    <t>4) For a complete list of USCIS forms and descriptions, visit: https://www.uscis.gov/forms</t>
  </si>
  <si>
    <t>Source:</t>
  </si>
  <si>
    <t>Department of Homeland Security, U.S. Citizenship and Immigration Services, Office of Performance and Quality</t>
  </si>
  <si>
    <t>Accepted and Approved Requests by Country of Birth</t>
  </si>
  <si>
    <r>
      <t>Accepted to Date</t>
    </r>
    <r>
      <rPr>
        <b/>
        <vertAlign val="superscript"/>
        <sz val="10"/>
        <rFont val="Calibri"/>
        <family val="2"/>
        <scheme val="minor"/>
      </rPr>
      <t>1</t>
    </r>
  </si>
  <si>
    <r>
      <t>Approved to Date</t>
    </r>
    <r>
      <rPr>
        <b/>
        <vertAlign val="superscript"/>
        <sz val="10"/>
        <rFont val="Calibri"/>
        <family val="2"/>
        <scheme val="minor"/>
      </rPr>
      <t>2</t>
    </r>
  </si>
  <si>
    <t>Top Countries of Birth</t>
  </si>
  <si>
    <t>Initials</t>
  </si>
  <si>
    <t>Renewals</t>
  </si>
  <si>
    <t>Total</t>
  </si>
  <si>
    <t>Country</t>
  </si>
  <si>
    <t>- Represents zero</t>
  </si>
  <si>
    <t xml:space="preserve">1) Some requests approved may have been received in previous reporting periods. </t>
  </si>
  <si>
    <t>2) The report reflects the most up-to-date estimate data available at the time the report is generated.</t>
  </si>
  <si>
    <t>3) Ranked by total approvals.</t>
  </si>
  <si>
    <t>Accepted and Approved Requests by State/Territory of Residence</t>
  </si>
  <si>
    <t>Residence</t>
  </si>
  <si>
    <t xml:space="preserve"> transfers between offices; thus the total pending counts cannot be calculated using data from previous reporting periods.</t>
  </si>
  <si>
    <t>District Of Columbia</t>
  </si>
  <si>
    <t>Federated States Of Micronesia</t>
  </si>
  <si>
    <t>Number of Form I-821D, Consideration of Deferred Action for Childhood Arrivals</t>
  </si>
  <si>
    <r>
      <rPr>
        <b/>
        <sz val="10"/>
        <rFont val="Calibri"/>
        <family val="2"/>
        <scheme val="minor"/>
      </rPr>
      <t>Requests Accepted</t>
    </r>
    <r>
      <rPr>
        <b/>
        <vertAlign val="superscript"/>
        <sz val="10"/>
        <rFont val="Calibri"/>
        <family val="2"/>
        <scheme val="minor"/>
      </rPr>
      <t>1</t>
    </r>
  </si>
  <si>
    <r>
      <t>Requests Rejected</t>
    </r>
    <r>
      <rPr>
        <b/>
        <vertAlign val="superscript"/>
        <sz val="10"/>
        <rFont val="Calibri"/>
        <family val="2"/>
        <scheme val="minor"/>
      </rPr>
      <t>2</t>
    </r>
  </si>
  <si>
    <r>
      <t>Total Requests Received</t>
    </r>
    <r>
      <rPr>
        <b/>
        <vertAlign val="superscript"/>
        <sz val="10"/>
        <rFont val="Calibri"/>
        <family val="2"/>
        <scheme val="minor"/>
      </rPr>
      <t>3</t>
    </r>
  </si>
  <si>
    <r>
      <t>Approved</t>
    </r>
    <r>
      <rPr>
        <b/>
        <vertAlign val="superscript"/>
        <sz val="10"/>
        <rFont val="Calibri"/>
        <family val="2"/>
        <scheme val="minor"/>
      </rPr>
      <t>4</t>
    </r>
  </si>
  <si>
    <r>
      <t>Denied</t>
    </r>
    <r>
      <rPr>
        <b/>
        <vertAlign val="superscript"/>
        <sz val="10"/>
        <rFont val="Calibri"/>
        <family val="2"/>
        <scheme val="minor"/>
      </rPr>
      <t>5</t>
    </r>
  </si>
  <si>
    <r>
      <t>Pending</t>
    </r>
    <r>
      <rPr>
        <b/>
        <vertAlign val="superscript"/>
        <sz val="10"/>
        <rFont val="Calibri"/>
        <family val="2"/>
        <scheme val="minor"/>
      </rPr>
      <t>6</t>
    </r>
  </si>
  <si>
    <t>Grand Total</t>
  </si>
  <si>
    <t>2014 Initial</t>
  </si>
  <si>
    <t>2014 Renewal</t>
  </si>
  <si>
    <t>2015 Initial</t>
  </si>
  <si>
    <t>2015 Renewal</t>
  </si>
  <si>
    <t>2016 Initial</t>
  </si>
  <si>
    <t>2016 Renewal</t>
  </si>
  <si>
    <t>2017 Initial</t>
  </si>
  <si>
    <t>2017 Renewal</t>
  </si>
  <si>
    <t>2018 Initial</t>
  </si>
  <si>
    <t>2018 Renewal</t>
  </si>
  <si>
    <t>2019 Initial</t>
  </si>
  <si>
    <t>2019 Renewal</t>
  </si>
  <si>
    <t>2020 Initial</t>
  </si>
  <si>
    <t>2020 Renewal</t>
  </si>
  <si>
    <t>2021 Initial</t>
  </si>
  <si>
    <t>2021 Renewal</t>
  </si>
  <si>
    <t>2022 Initial</t>
  </si>
  <si>
    <t>2022 Renewal</t>
  </si>
  <si>
    <t>2023 Initial</t>
  </si>
  <si>
    <t>2023 Renewal</t>
  </si>
  <si>
    <t>2024 Initial</t>
  </si>
  <si>
    <t>2024 Renewal</t>
  </si>
  <si>
    <t>2025 Initial</t>
  </si>
  <si>
    <t>2025 Renewal</t>
  </si>
  <si>
    <t>Total Cumulative Initial</t>
  </si>
  <si>
    <t>Total Cumulative Renewal</t>
  </si>
  <si>
    <t>Q1. October - December Initial</t>
  </si>
  <si>
    <t>Q1. October - December Renewal</t>
  </si>
  <si>
    <t>Armed Forces In The Americas Excluding Canada</t>
  </si>
  <si>
    <t>Northern Marianas Island</t>
  </si>
  <si>
    <t>Armed Forces In Europe, The Middle East, Africa, And Canada</t>
  </si>
  <si>
    <t>Armed Forces In The Pacific</t>
  </si>
  <si>
    <t>Fiscal Year 2025 by Quarter</t>
  </si>
  <si>
    <t>Q2. January - March</t>
  </si>
  <si>
    <t>Q2. January - March Initial</t>
  </si>
  <si>
    <t>Q2. January - March Renewal</t>
  </si>
  <si>
    <t>Korea, South</t>
  </si>
  <si>
    <t>Trinidad And Tobago</t>
  </si>
  <si>
    <t>Nigeria</t>
  </si>
  <si>
    <t>Q3. April - June</t>
  </si>
  <si>
    <t>Q3. April - June Initial</t>
  </si>
  <si>
    <t>Q3. April - June Renewal</t>
  </si>
  <si>
    <r>
      <rPr>
        <vertAlign val="superscript"/>
        <sz val="9"/>
        <color rgb="FF000000"/>
        <rFont val="Calibri"/>
        <family val="2"/>
      </rPr>
      <t>1</t>
    </r>
    <r>
      <rPr>
        <sz val="9"/>
        <color rgb="FF000000"/>
        <rFont val="Calibri"/>
        <family val="2"/>
      </rPr>
      <t>The number of new requests accepted at a Lockbox during the reporting period.</t>
    </r>
  </si>
  <si>
    <r>
      <rPr>
        <vertAlign val="superscript"/>
        <sz val="9"/>
        <color rgb="FF000000"/>
        <rFont val="Calibri"/>
        <family val="2"/>
      </rPr>
      <t>2</t>
    </r>
    <r>
      <rPr>
        <sz val="9"/>
        <color rgb="FF000000"/>
        <rFont val="Calibri"/>
        <family val="2"/>
      </rPr>
      <t>The number of requests rejected at a Lockbox during the reporting period.</t>
    </r>
  </si>
  <si>
    <r>
      <rPr>
        <vertAlign val="superscript"/>
        <sz val="9"/>
        <color rgb="FF000000"/>
        <rFont val="Calibri"/>
        <family val="2"/>
      </rPr>
      <t>3</t>
    </r>
    <r>
      <rPr>
        <sz val="9"/>
        <color rgb="FF000000"/>
        <rFont val="Calibri"/>
        <family val="2"/>
      </rPr>
      <t>The number of requests received and entered into a case-tracking system during the reporting period.</t>
    </r>
  </si>
  <si>
    <r>
      <rPr>
        <vertAlign val="superscript"/>
        <sz val="9"/>
        <rFont val="Calibri"/>
        <family val="2"/>
      </rPr>
      <t>4</t>
    </r>
    <r>
      <rPr>
        <sz val="9"/>
        <rFont val="Calibri"/>
        <family val="2"/>
      </rPr>
      <t>The number of requests approved during the reporting period. Initial request approvals after July 16, 2021 are reaffirmations of previous approvals.</t>
    </r>
  </si>
  <si>
    <r>
      <rPr>
        <vertAlign val="superscript"/>
        <sz val="9"/>
        <rFont val="Calibri"/>
        <family val="2"/>
      </rPr>
      <t>5</t>
    </r>
    <r>
      <rPr>
        <sz val="9"/>
        <rFont val="Calibri"/>
        <family val="2"/>
      </rPr>
      <t>The number of requests denied during the reporting period. Initial request denials after July 16, 2021 are terminations, reaffirmations of previous denials, or administrative actions taken to close a case.</t>
    </r>
  </si>
  <si>
    <r>
      <rPr>
        <vertAlign val="superscript"/>
        <sz val="9"/>
        <rFont val="Calibri"/>
        <family val="2"/>
      </rPr>
      <t>6</t>
    </r>
    <r>
      <rPr>
        <sz val="9"/>
        <rFont val="Calibri"/>
        <family val="2"/>
      </rPr>
      <t xml:space="preserve"> The number of applications awaiting a decision as of the end of the reporting period. Some actions taken on cases are not reflected in this report such as administrative closures and </t>
    </r>
  </si>
  <si>
    <r>
      <rPr>
        <vertAlign val="superscript"/>
        <sz val="9"/>
        <rFont val="Calibri"/>
        <family val="2"/>
      </rPr>
      <t>1</t>
    </r>
    <r>
      <rPr>
        <sz val="9"/>
        <rFont val="Calibri"/>
        <family val="2"/>
      </rPr>
      <t xml:space="preserve"> The number of requests accepted to date of the reporting period.</t>
    </r>
  </si>
  <si>
    <r>
      <rPr>
        <vertAlign val="superscript"/>
        <sz val="9"/>
        <rFont val="Calibri"/>
        <family val="2"/>
      </rPr>
      <t xml:space="preserve">2  </t>
    </r>
    <r>
      <rPr>
        <sz val="9"/>
        <rFont val="Calibri"/>
        <family val="2"/>
      </rPr>
      <t>The number of requests approved to date of the reporting period.</t>
    </r>
  </si>
  <si>
    <r>
      <rPr>
        <vertAlign val="superscript"/>
        <sz val="9"/>
        <rFont val="Calibri"/>
        <family val="2"/>
      </rPr>
      <t xml:space="preserve">3  </t>
    </r>
    <r>
      <rPr>
        <sz val="9"/>
        <rFont val="Calibri"/>
        <family val="2"/>
      </rPr>
      <t>All fields with a blank in the country of birth field are included in the field "All Others."</t>
    </r>
  </si>
  <si>
    <r>
      <rPr>
        <vertAlign val="superscript"/>
        <sz val="9"/>
        <rFont val="Calibri"/>
        <family val="2"/>
      </rPr>
      <t xml:space="preserve">3  </t>
    </r>
    <r>
      <rPr>
        <sz val="9"/>
        <rFont val="Calibri"/>
        <family val="2"/>
      </rPr>
      <t>All fields with a blank in the State field are included in the field "not reported."</t>
    </r>
  </si>
  <si>
    <t>Q4. July - September</t>
  </si>
  <si>
    <t>Q4. July - September Initial</t>
  </si>
  <si>
    <t>Q4. July - September Renewal</t>
  </si>
  <si>
    <t>August 15, 2012 - September 30, 2025</t>
  </si>
  <si>
    <t>CLAIMS3, ELIS, accessed 10/2025, PAER0019085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</si>
</sst>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23" x14ac:knownFonts="1">
    <font>
      <sz val="11"/>
      <color theme="1"/>
      <name val="Calibri"/>
      <family val="2"/>
      <scheme val="minor"/>
    </font>
    <font>
      <sz val="11"/>
      <color theme="1"/>
      <name val="Calibri"/>
      <family val="2"/>
      <scheme val="minor"/>
    </font>
    <font>
      <sz val="10"/>
      <color theme="1"/>
      <name val="Source Sans Pro"/>
      <family val="2"/>
    </font>
    <font>
      <sz val="11"/>
      <color theme="1"/>
      <name val="Source Sans Pro"/>
      <family val="2"/>
    </font>
    <font>
      <sz val="11"/>
      <color rgb="FFFF0000"/>
      <name val="Source Sans Pro"/>
      <family val="2"/>
    </font>
    <font>
      <sz val="10"/>
      <color theme="0"/>
      <name val="Source Sans Pro"/>
      <family val="2"/>
    </font>
    <font>
      <b/>
      <sz val="10"/>
      <name val="Calibri"/>
      <family val="2"/>
      <scheme val="minor"/>
    </font>
    <font>
      <b/>
      <sz val="10"/>
      <color theme="1"/>
      <name val="Calibri"/>
      <family val="2"/>
      <scheme val="minor"/>
    </font>
    <font>
      <sz val="10"/>
      <color theme="1"/>
      <name val="Calibri"/>
      <family val="2"/>
      <scheme val="minor"/>
    </font>
    <font>
      <sz val="9"/>
      <name val="Calibri"/>
      <family val="2"/>
      <scheme val="minor"/>
    </font>
    <font>
      <sz val="9"/>
      <color theme="1"/>
      <name val="Calibri"/>
      <family val="2"/>
      <scheme val="minor"/>
    </font>
    <font>
      <sz val="9"/>
      <color rgb="FFFF0000"/>
      <name val="Calibri"/>
      <family val="2"/>
      <scheme val="minor"/>
    </font>
    <font>
      <sz val="11"/>
      <color rgb="FF000000"/>
      <name val="Arial"/>
      <family val="2"/>
    </font>
    <font>
      <sz val="9"/>
      <color theme="1"/>
      <name val="Source Sans Pro"/>
      <family val="2"/>
    </font>
    <font>
      <b/>
      <vertAlign val="superscript"/>
      <sz val="10"/>
      <name val="Calibri"/>
      <family val="2"/>
      <scheme val="minor"/>
    </font>
    <font>
      <sz val="11"/>
      <color theme="1"/>
      <name val="Calibri"/>
      <family val="2"/>
    </font>
    <font>
      <b/>
      <u/>
      <sz val="9"/>
      <color theme="1"/>
      <name val="Calibri"/>
      <family val="2"/>
    </font>
    <font>
      <sz val="9"/>
      <name val="Calibri"/>
      <family val="2"/>
    </font>
    <font>
      <b/>
      <u/>
      <sz val="9"/>
      <name val="Calibri"/>
      <family val="2"/>
    </font>
    <font>
      <sz val="9"/>
      <color rgb="FF000000"/>
      <name val="Calibri"/>
      <family val="2"/>
    </font>
    <font>
      <vertAlign val="superscript"/>
      <sz val="9"/>
      <color rgb="FF000000"/>
      <name val="Calibri"/>
      <family val="2"/>
    </font>
    <font>
      <vertAlign val="superscript"/>
      <sz val="9"/>
      <name val="Calibri"/>
      <family val="2"/>
    </font>
    <font>
      <sz val="9"/>
      <color theme="1"/>
      <name val="Calibri"/>
      <family val="2"/>
    </font>
  </fonts>
  <fills count="7">
    <fill>
      <patternFill patternType="none"/>
    </fill>
    <fill>
      <patternFill patternType="gray125"/>
    </fill>
    <fill>
      <patternFill patternType="solid">
        <fgColor rgb="FF003366"/>
        <bgColor indexed="64"/>
      </patternFill>
    </fill>
    <fill>
      <patternFill patternType="solid">
        <fgColor rgb="FFEFEFEF"/>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style="thin">
        <color indexed="64"/>
      </right>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indexed="64"/>
      </left>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diagonal/>
    </border>
    <border>
      <left/>
      <right style="medium">
        <color indexed="64"/>
      </right>
      <top/>
      <bottom/>
      <diagonal/>
    </border>
    <border>
      <left/>
      <right style="medium">
        <color indexed="64"/>
      </right>
      <top style="thin">
        <color auto="1"/>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medium">
        <color indexed="64"/>
      </right>
      <top/>
      <bottom style="thin">
        <color auto="1"/>
      </bottom>
      <diagonal/>
    </border>
    <border>
      <left style="medium">
        <color indexed="64"/>
      </left>
      <right style="thin">
        <color auto="1"/>
      </right>
      <top/>
      <bottom style="thin">
        <color auto="1"/>
      </bottom>
      <diagonal/>
    </border>
    <border>
      <left style="thin">
        <color auto="1"/>
      </left>
      <right style="medium">
        <color indexed="64"/>
      </right>
      <top style="thin">
        <color auto="1"/>
      </top>
      <bottom/>
      <diagonal/>
    </border>
    <border>
      <left/>
      <right style="thin">
        <color auto="1"/>
      </right>
      <top style="thin">
        <color auto="1"/>
      </top>
      <bottom style="medium">
        <color indexed="64"/>
      </bottom>
      <diagonal/>
    </border>
    <border>
      <left style="thin">
        <color indexed="64"/>
      </left>
      <right/>
      <top style="thin">
        <color auto="1"/>
      </top>
      <bottom/>
      <diagonal/>
    </border>
    <border>
      <left/>
      <right/>
      <top style="thin">
        <color auto="1"/>
      </top>
      <bottom/>
      <diagonal/>
    </border>
    <border>
      <left/>
      <right style="thin">
        <color indexed="64"/>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medium">
        <color indexed="64"/>
      </top>
      <bottom style="thin">
        <color auto="1"/>
      </bottom>
      <diagonal/>
    </border>
    <border>
      <left style="thin">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s>
  <cellStyleXfs count="6">
    <xf numFmtId="0" fontId="0" fillId="0" borderId="0"/>
    <xf numFmtId="0" fontId="1" fillId="0" borderId="0"/>
    <xf numFmtId="43" fontId="1" fillId="0" borderId="0" applyFont="0" applyFill="0" applyBorder="0" applyAlignment="0" applyProtection="0"/>
    <xf numFmtId="0" fontId="12" fillId="0" borderId="0"/>
    <xf numFmtId="0" fontId="15" fillId="0" borderId="0"/>
    <xf numFmtId="43" fontId="1" fillId="0" borderId="0" applyFont="0" applyFill="0" applyBorder="0" applyAlignment="0" applyProtection="0"/>
  </cellStyleXfs>
  <cellXfs count="124">
    <xf numFmtId="0" fontId="0" fillId="0" borderId="0" xfId="0"/>
    <xf numFmtId="0" fontId="3" fillId="0" borderId="0" xfId="1" applyFont="1"/>
    <xf numFmtId="0" fontId="4" fillId="0" borderId="0" xfId="1" applyFont="1"/>
    <xf numFmtId="0" fontId="2" fillId="2" borderId="0" xfId="1" applyFont="1" applyFill="1"/>
    <xf numFmtId="0" fontId="2" fillId="0" borderId="0" xfId="1" applyFont="1"/>
    <xf numFmtId="0" fontId="8" fillId="3" borderId="6" xfId="1" applyFont="1" applyFill="1" applyBorder="1"/>
    <xf numFmtId="0" fontId="8" fillId="3" borderId="2" xfId="1" applyFont="1" applyFill="1" applyBorder="1"/>
    <xf numFmtId="0" fontId="8" fillId="3" borderId="3" xfId="1" applyFont="1" applyFill="1" applyBorder="1"/>
    <xf numFmtId="0" fontId="9" fillId="4" borderId="0" xfId="1" applyFont="1" applyFill="1" applyAlignment="1">
      <alignment horizontal="left"/>
    </xf>
    <xf numFmtId="0" fontId="10" fillId="4" borderId="0" xfId="1" applyFont="1" applyFill="1" applyAlignment="1">
      <alignment horizontal="center"/>
    </xf>
    <xf numFmtId="0" fontId="11" fillId="4" borderId="0" xfId="1" applyFont="1" applyFill="1" applyAlignment="1">
      <alignment horizontal="center"/>
    </xf>
    <xf numFmtId="0" fontId="10" fillId="4" borderId="0" xfId="1" applyFont="1" applyFill="1"/>
    <xf numFmtId="0" fontId="13" fillId="0" borderId="0" xfId="1" applyFont="1"/>
    <xf numFmtId="0" fontId="9" fillId="4" borderId="0" xfId="1" applyFont="1" applyFill="1" applyAlignment="1">
      <alignment horizontal="left" vertical="top" wrapText="1"/>
    </xf>
    <xf numFmtId="3" fontId="8" fillId="0" borderId="5" xfId="2" applyNumberFormat="1" applyFont="1" applyBorder="1"/>
    <xf numFmtId="3" fontId="8" fillId="0" borderId="5" xfId="1" applyNumberFormat="1" applyFont="1" applyBorder="1"/>
    <xf numFmtId="3" fontId="8" fillId="0" borderId="3" xfId="2" applyNumberFormat="1" applyFont="1" applyBorder="1"/>
    <xf numFmtId="3" fontId="8" fillId="0" borderId="4" xfId="2" applyNumberFormat="1" applyFont="1" applyBorder="1"/>
    <xf numFmtId="3" fontId="8" fillId="0" borderId="4" xfId="1" applyNumberFormat="1" applyFont="1" applyBorder="1"/>
    <xf numFmtId="3" fontId="8" fillId="4" borderId="5" xfId="2" applyNumberFormat="1" applyFont="1" applyFill="1" applyBorder="1"/>
    <xf numFmtId="3" fontId="8" fillId="4" borderId="5" xfId="1" applyNumberFormat="1" applyFont="1" applyFill="1" applyBorder="1"/>
    <xf numFmtId="3" fontId="8" fillId="4" borderId="3" xfId="2" applyNumberFormat="1" applyFont="1" applyFill="1" applyBorder="1"/>
    <xf numFmtId="0" fontId="10" fillId="4" borderId="0" xfId="1" applyFont="1" applyFill="1" applyAlignment="1">
      <alignment horizontal="left" wrapText="1"/>
    </xf>
    <xf numFmtId="0" fontId="3" fillId="4" borderId="0" xfId="1" applyFont="1" applyFill="1"/>
    <xf numFmtId="0" fontId="2" fillId="4" borderId="0" xfId="1" applyFont="1" applyFill="1"/>
    <xf numFmtId="41" fontId="9" fillId="4" borderId="0" xfId="1" applyNumberFormat="1" applyFont="1" applyFill="1" applyAlignment="1">
      <alignment horizontal="left"/>
    </xf>
    <xf numFmtId="3" fontId="9" fillId="4" borderId="0" xfId="1" applyNumberFormat="1" applyFont="1" applyFill="1" applyAlignment="1">
      <alignment horizontal="left"/>
    </xf>
    <xf numFmtId="164" fontId="8" fillId="0" borderId="5" xfId="5" applyNumberFormat="1" applyFont="1" applyBorder="1"/>
    <xf numFmtId="164" fontId="8" fillId="0" borderId="4" xfId="5" applyNumberFormat="1" applyFont="1" applyBorder="1"/>
    <xf numFmtId="164" fontId="8" fillId="0" borderId="5" xfId="5" applyNumberFormat="1" applyFont="1" applyBorder="1" applyAlignment="1">
      <alignment horizontal="right"/>
    </xf>
    <xf numFmtId="164" fontId="8" fillId="0" borderId="4" xfId="5" applyNumberFormat="1" applyFont="1" applyBorder="1" applyAlignment="1">
      <alignment horizontal="right"/>
    </xf>
    <xf numFmtId="164" fontId="7" fillId="5" borderId="5" xfId="5" applyNumberFormat="1" applyFont="1" applyFill="1" applyBorder="1" applyAlignment="1">
      <alignment horizontal="right"/>
    </xf>
    <xf numFmtId="0" fontId="13" fillId="4" borderId="0" xfId="1" applyFont="1" applyFill="1"/>
    <xf numFmtId="0" fontId="5" fillId="2" borderId="8" xfId="1" applyFont="1" applyFill="1" applyBorder="1"/>
    <xf numFmtId="0" fontId="2" fillId="2" borderId="9" xfId="1" applyFont="1" applyFill="1" applyBorder="1"/>
    <xf numFmtId="0" fontId="3" fillId="0" borderId="8" xfId="1" applyFont="1" applyBorder="1"/>
    <xf numFmtId="0" fontId="6" fillId="0" borderId="11" xfId="1" applyFont="1" applyBorder="1" applyAlignment="1">
      <alignment horizontal="center" wrapText="1"/>
    </xf>
    <xf numFmtId="0" fontId="7" fillId="3" borderId="13" xfId="1" applyFont="1" applyFill="1" applyBorder="1"/>
    <xf numFmtId="0" fontId="8" fillId="3" borderId="10" xfId="1" applyFont="1" applyFill="1" applyBorder="1"/>
    <xf numFmtId="0" fontId="8" fillId="0" borderId="13" xfId="1" applyFont="1" applyBorder="1" applyAlignment="1">
      <alignment horizontal="left" indent="2"/>
    </xf>
    <xf numFmtId="164" fontId="8" fillId="0" borderId="12" xfId="5" applyNumberFormat="1" applyFont="1" applyBorder="1" applyAlignment="1">
      <alignment horizontal="right"/>
    </xf>
    <xf numFmtId="0" fontId="7" fillId="5" borderId="13" xfId="1" applyFont="1" applyFill="1" applyBorder="1" applyAlignment="1">
      <alignment horizontal="left"/>
    </xf>
    <xf numFmtId="164" fontId="7" fillId="5" borderId="12" xfId="5" applyNumberFormat="1" applyFont="1" applyFill="1" applyBorder="1" applyAlignment="1">
      <alignment horizontal="right"/>
    </xf>
    <xf numFmtId="0" fontId="8" fillId="0" borderId="11" xfId="1" applyFont="1" applyBorder="1" applyAlignment="1">
      <alignment horizontal="left" indent="1"/>
    </xf>
    <xf numFmtId="0" fontId="8" fillId="0" borderId="13" xfId="1" applyFont="1" applyBorder="1" applyAlignment="1">
      <alignment horizontal="left" indent="1"/>
    </xf>
    <xf numFmtId="0" fontId="8" fillId="0" borderId="14" xfId="1" applyFont="1" applyBorder="1" applyAlignment="1">
      <alignment horizontal="left" indent="1"/>
    </xf>
    <xf numFmtId="164" fontId="8" fillId="0" borderId="15" xfId="5" applyNumberFormat="1" applyFont="1" applyBorder="1" applyAlignment="1">
      <alignment horizontal="right"/>
    </xf>
    <xf numFmtId="164" fontId="8" fillId="0" borderId="16" xfId="5" applyNumberFormat="1" applyFont="1" applyBorder="1" applyAlignment="1">
      <alignment horizontal="right"/>
    </xf>
    <xf numFmtId="3" fontId="8" fillId="3" borderId="10" xfId="1" applyNumberFormat="1" applyFont="1" applyFill="1" applyBorder="1" applyAlignment="1">
      <alignment horizontal="right"/>
    </xf>
    <xf numFmtId="164" fontId="8" fillId="0" borderId="12" xfId="5" applyNumberFormat="1" applyFont="1" applyBorder="1"/>
    <xf numFmtId="164" fontId="8" fillId="0" borderId="19" xfId="5" applyNumberFormat="1" applyFont="1" applyBorder="1" applyAlignment="1">
      <alignment horizontal="right"/>
    </xf>
    <xf numFmtId="3" fontId="6" fillId="3" borderId="15" xfId="1" applyNumberFormat="1" applyFont="1" applyFill="1" applyBorder="1" applyAlignment="1">
      <alignment horizontal="right"/>
    </xf>
    <xf numFmtId="3" fontId="6" fillId="3" borderId="16" xfId="1" applyNumberFormat="1" applyFont="1" applyFill="1" applyBorder="1" applyAlignment="1">
      <alignment horizontal="right"/>
    </xf>
    <xf numFmtId="0" fontId="14" fillId="0" borderId="5" xfId="1" applyFont="1" applyBorder="1" applyAlignment="1">
      <alignment horizontal="center" vertical="center" wrapText="1"/>
    </xf>
    <xf numFmtId="0" fontId="6" fillId="0" borderId="5" xfId="1" applyFont="1" applyBorder="1" applyAlignment="1">
      <alignment horizontal="center" vertical="center" wrapText="1"/>
    </xf>
    <xf numFmtId="0" fontId="6" fillId="0" borderId="5" xfId="1" applyFont="1" applyBorder="1" applyAlignment="1">
      <alignment horizontal="center" vertical="center"/>
    </xf>
    <xf numFmtId="0" fontId="6" fillId="0" borderId="12" xfId="1" applyFont="1" applyBorder="1" applyAlignment="1">
      <alignment horizontal="center" vertical="center"/>
    </xf>
    <xf numFmtId="0" fontId="6" fillId="0" borderId="1" xfId="1" applyFont="1" applyBorder="1" applyAlignment="1">
      <alignment horizontal="center" vertical="center" wrapText="1"/>
    </xf>
    <xf numFmtId="0" fontId="6" fillId="0" borderId="7" xfId="1" applyFont="1" applyBorder="1" applyAlignment="1">
      <alignment horizontal="center" vertical="center"/>
    </xf>
    <xf numFmtId="0" fontId="6" fillId="0" borderId="17" xfId="1" applyFont="1" applyBorder="1" applyAlignment="1">
      <alignment horizontal="center" vertical="center"/>
    </xf>
    <xf numFmtId="3" fontId="8" fillId="0" borderId="12" xfId="2" applyNumberFormat="1" applyFont="1" applyBorder="1"/>
    <xf numFmtId="3" fontId="8" fillId="0" borderId="12" xfId="1" applyNumberFormat="1" applyFont="1" applyBorder="1"/>
    <xf numFmtId="0" fontId="7" fillId="3" borderId="14" xfId="1" applyFont="1" applyFill="1" applyBorder="1"/>
    <xf numFmtId="3" fontId="6" fillId="3" borderId="20" xfId="1" applyNumberFormat="1" applyFont="1" applyFill="1" applyBorder="1" applyAlignment="1">
      <alignment horizontal="right"/>
    </xf>
    <xf numFmtId="0" fontId="6" fillId="0" borderId="3" xfId="1" applyFont="1" applyBorder="1" applyAlignment="1">
      <alignment horizontal="center" vertical="center" wrapText="1"/>
    </xf>
    <xf numFmtId="49" fontId="5" fillId="2" borderId="8" xfId="1" applyNumberFormat="1" applyFont="1" applyFill="1" applyBorder="1"/>
    <xf numFmtId="49" fontId="8" fillId="0" borderId="13" xfId="1" applyNumberFormat="1" applyFont="1" applyBorder="1" applyAlignment="1">
      <alignment horizontal="left" indent="1"/>
    </xf>
    <xf numFmtId="49" fontId="8" fillId="0" borderId="11" xfId="1" applyNumberFormat="1" applyFont="1" applyBorder="1" applyAlignment="1">
      <alignment horizontal="left" indent="1"/>
    </xf>
    <xf numFmtId="49" fontId="7" fillId="3" borderId="14" xfId="1" applyNumberFormat="1" applyFont="1" applyFill="1" applyBorder="1" applyAlignment="1">
      <alignment horizontal="left"/>
    </xf>
    <xf numFmtId="49" fontId="0" fillId="0" borderId="0" xfId="0" applyNumberFormat="1"/>
    <xf numFmtId="49" fontId="6" fillId="0" borderId="5" xfId="1" applyNumberFormat="1" applyFont="1" applyBorder="1" applyAlignment="1">
      <alignment horizontal="center" vertical="center"/>
    </xf>
    <xf numFmtId="49" fontId="6" fillId="0" borderId="12" xfId="1" applyNumberFormat="1" applyFont="1" applyBorder="1" applyAlignment="1">
      <alignment horizontal="center" vertical="center"/>
    </xf>
    <xf numFmtId="0" fontId="5" fillId="2" borderId="8" xfId="1" applyFont="1" applyFill="1" applyBorder="1" applyAlignment="1">
      <alignment vertical="center"/>
    </xf>
    <xf numFmtId="0" fontId="5" fillId="2" borderId="8" xfId="1" applyFont="1" applyFill="1" applyBorder="1" applyAlignment="1">
      <alignment vertical="top"/>
    </xf>
    <xf numFmtId="49" fontId="5" fillId="2" borderId="8" xfId="1" applyNumberFormat="1" applyFont="1" applyFill="1" applyBorder="1" applyAlignment="1">
      <alignment vertical="center"/>
    </xf>
    <xf numFmtId="0" fontId="6" fillId="0" borderId="18" xfId="1" applyFont="1" applyBorder="1" applyAlignment="1">
      <alignment horizontal="center" wrapText="1"/>
    </xf>
    <xf numFmtId="49" fontId="6" fillId="0" borderId="18" xfId="1" applyNumberFormat="1" applyFont="1" applyBorder="1" applyAlignment="1">
      <alignment horizontal="center" wrapText="1"/>
    </xf>
    <xf numFmtId="0" fontId="6" fillId="3" borderId="6" xfId="1" applyFont="1" applyFill="1" applyBorder="1" applyAlignment="1">
      <alignment horizontal="centerContinuous"/>
    </xf>
    <xf numFmtId="0" fontId="6" fillId="3" borderId="2" xfId="1" applyFont="1" applyFill="1" applyBorder="1" applyAlignment="1">
      <alignment horizontal="centerContinuous"/>
    </xf>
    <xf numFmtId="0" fontId="6" fillId="3" borderId="10" xfId="1" applyFont="1" applyFill="1" applyBorder="1" applyAlignment="1">
      <alignment horizontal="centerContinuous"/>
    </xf>
    <xf numFmtId="0" fontId="7" fillId="3" borderId="6" xfId="1" applyFont="1" applyFill="1" applyBorder="1" applyAlignment="1">
      <alignment horizontal="centerContinuous"/>
    </xf>
    <xf numFmtId="0" fontId="7" fillId="3" borderId="2" xfId="1" applyFont="1" applyFill="1" applyBorder="1" applyAlignment="1">
      <alignment horizontal="centerContinuous"/>
    </xf>
    <xf numFmtId="0" fontId="7" fillId="3" borderId="3" xfId="1" applyFont="1" applyFill="1" applyBorder="1" applyAlignment="1">
      <alignment horizontal="centerContinuous"/>
    </xf>
    <xf numFmtId="0" fontId="7" fillId="3" borderId="10" xfId="1" applyFont="1" applyFill="1" applyBorder="1" applyAlignment="1">
      <alignment horizontal="centerContinuous"/>
    </xf>
    <xf numFmtId="0" fontId="6" fillId="0" borderId="11" xfId="1" applyFont="1" applyBorder="1" applyAlignment="1">
      <alignment wrapText="1"/>
    </xf>
    <xf numFmtId="49" fontId="7" fillId="3" borderId="6" xfId="1" applyNumberFormat="1" applyFont="1" applyFill="1" applyBorder="1" applyAlignment="1">
      <alignment horizontal="centerContinuous"/>
    </xf>
    <xf numFmtId="49" fontId="7" fillId="3" borderId="2" xfId="1" applyNumberFormat="1" applyFont="1" applyFill="1" applyBorder="1" applyAlignment="1">
      <alignment horizontal="centerContinuous"/>
    </xf>
    <xf numFmtId="49" fontId="7" fillId="3" borderId="10" xfId="1" applyNumberFormat="1" applyFont="1" applyFill="1" applyBorder="1" applyAlignment="1">
      <alignment horizontal="centerContinuous"/>
    </xf>
    <xf numFmtId="49" fontId="7" fillId="3" borderId="3" xfId="1" applyNumberFormat="1" applyFont="1" applyFill="1" applyBorder="1" applyAlignment="1">
      <alignment horizontal="centerContinuous"/>
    </xf>
    <xf numFmtId="49" fontId="6" fillId="0" borderId="11" xfId="1" applyNumberFormat="1" applyFont="1" applyBorder="1" applyAlignment="1">
      <alignment wrapText="1"/>
    </xf>
    <xf numFmtId="3" fontId="8" fillId="3" borderId="21" xfId="1" applyNumberFormat="1" applyFont="1" applyFill="1" applyBorder="1" applyAlignment="1">
      <alignment horizontal="right"/>
    </xf>
    <xf numFmtId="3" fontId="8" fillId="3" borderId="22" xfId="1" applyNumberFormat="1" applyFont="1" applyFill="1" applyBorder="1" applyAlignment="1">
      <alignment horizontal="right"/>
    </xf>
    <xf numFmtId="3" fontId="8" fillId="3" borderId="23" xfId="1" applyNumberFormat="1" applyFont="1" applyFill="1" applyBorder="1" applyAlignment="1">
      <alignment horizontal="right"/>
    </xf>
    <xf numFmtId="0" fontId="5" fillId="2" borderId="24" xfId="1" applyFont="1" applyFill="1" applyBorder="1"/>
    <xf numFmtId="0" fontId="2" fillId="2" borderId="25" xfId="1" applyFont="1" applyFill="1" applyBorder="1"/>
    <xf numFmtId="0" fontId="2" fillId="2" borderId="26" xfId="1" applyFont="1" applyFill="1" applyBorder="1"/>
    <xf numFmtId="0" fontId="2" fillId="5" borderId="27" xfId="1" applyFont="1" applyFill="1" applyBorder="1"/>
    <xf numFmtId="0" fontId="6" fillId="3" borderId="28" xfId="1" applyFont="1" applyFill="1" applyBorder="1" applyAlignment="1">
      <alignment horizontal="centerContinuous"/>
    </xf>
    <xf numFmtId="0" fontId="6" fillId="3" borderId="29" xfId="1" applyFont="1" applyFill="1" applyBorder="1" applyAlignment="1">
      <alignment horizontal="centerContinuous"/>
    </xf>
    <xf numFmtId="0" fontId="6" fillId="3" borderId="30" xfId="1" applyFont="1" applyFill="1" applyBorder="1" applyAlignment="1">
      <alignment horizontal="centerContinuous"/>
    </xf>
    <xf numFmtId="0" fontId="8" fillId="0" borderId="13" xfId="1" applyFont="1" applyBorder="1" applyAlignment="1">
      <alignment horizontal="left"/>
    </xf>
    <xf numFmtId="0" fontId="7" fillId="3" borderId="14" xfId="1" applyFont="1" applyFill="1" applyBorder="1" applyAlignment="1">
      <alignment horizontal="left"/>
    </xf>
    <xf numFmtId="164" fontId="6" fillId="3" borderId="15" xfId="5" applyNumberFormat="1" applyFont="1" applyFill="1" applyBorder="1" applyAlignment="1">
      <alignment horizontal="right"/>
    </xf>
    <xf numFmtId="164" fontId="6" fillId="3" borderId="16" xfId="5" applyNumberFormat="1" applyFont="1" applyFill="1" applyBorder="1" applyAlignment="1">
      <alignment horizontal="right"/>
    </xf>
    <xf numFmtId="0" fontId="16" fillId="4" borderId="0" xfId="1" applyFont="1" applyFill="1"/>
    <xf numFmtId="49" fontId="17" fillId="4" borderId="0" xfId="1" quotePrefix="1" applyNumberFormat="1" applyFont="1" applyFill="1" applyAlignment="1">
      <alignment horizontal="left"/>
    </xf>
    <xf numFmtId="0" fontId="18" fillId="4" borderId="0" xfId="1" quotePrefix="1" applyFont="1" applyFill="1" applyAlignment="1">
      <alignment horizontal="left"/>
    </xf>
    <xf numFmtId="0" fontId="19" fillId="6" borderId="0" xfId="3" applyFont="1" applyFill="1" applyAlignment="1">
      <alignment horizontal="left"/>
    </xf>
    <xf numFmtId="0" fontId="17" fillId="4" borderId="0" xfId="3" applyFont="1" applyFill="1" applyAlignment="1">
      <alignment horizontal="left"/>
    </xf>
    <xf numFmtId="0" fontId="17" fillId="6" borderId="0" xfId="3" applyFont="1" applyFill="1" applyAlignment="1">
      <alignment horizontal="left"/>
    </xf>
    <xf numFmtId="0" fontId="16" fillId="4" borderId="0" xfId="1" applyFont="1" applyFill="1" applyAlignment="1">
      <alignment horizontal="left"/>
    </xf>
    <xf numFmtId="0" fontId="22" fillId="4" borderId="0" xfId="1" applyFont="1" applyFill="1" applyAlignment="1">
      <alignment horizontal="left"/>
    </xf>
    <xf numFmtId="0" fontId="17" fillId="4" borderId="0" xfId="1" applyFont="1" applyFill="1" applyAlignment="1">
      <alignment horizontal="left"/>
    </xf>
    <xf numFmtId="0" fontId="17" fillId="4" borderId="0" xfId="1" applyFont="1" applyFill="1" applyAlignment="1">
      <alignment horizontal="left" vertical="top"/>
    </xf>
    <xf numFmtId="0" fontId="22" fillId="4" borderId="0" xfId="1" applyFont="1" applyFill="1"/>
    <xf numFmtId="49" fontId="16" fillId="4" borderId="0" xfId="1" applyNumberFormat="1" applyFont="1" applyFill="1"/>
    <xf numFmtId="49" fontId="18" fillId="4" borderId="0" xfId="1" quotePrefix="1" applyNumberFormat="1" applyFont="1" applyFill="1" applyAlignment="1">
      <alignment horizontal="left"/>
    </xf>
    <xf numFmtId="49" fontId="17" fillId="4" borderId="0" xfId="1" applyNumberFormat="1" applyFont="1" applyFill="1" applyAlignment="1">
      <alignment horizontal="left"/>
    </xf>
    <xf numFmtId="49" fontId="16" fillId="4" borderId="0" xfId="1" applyNumberFormat="1" applyFont="1" applyFill="1" applyAlignment="1">
      <alignment horizontal="left"/>
    </xf>
    <xf numFmtId="49" fontId="22" fillId="4" borderId="0" xfId="1" applyNumberFormat="1" applyFont="1" applyFill="1" applyAlignment="1">
      <alignment horizontal="left"/>
    </xf>
    <xf numFmtId="49" fontId="22" fillId="4" borderId="0" xfId="1" applyNumberFormat="1" applyFont="1" applyFill="1"/>
    <xf numFmtId="0" fontId="8" fillId="0" borderId="11" xfId="1" applyFont="1" applyBorder="1" applyAlignment="1">
      <alignment horizontal="left" indent="2"/>
    </xf>
    <xf numFmtId="0" fontId="8" fillId="0" borderId="11" xfId="1" applyFont="1" applyBorder="1" applyAlignment="1">
      <alignment horizontal="left"/>
    </xf>
    <xf numFmtId="164" fontId="0" fillId="0" borderId="0" xfId="0" applyNumberFormat="1"/>
  </cellXfs>
  <cellStyles count="6">
    <cellStyle name="Comma" xfId="5" builtinId="3"/>
    <cellStyle name="Comma 2" xfId="2" xr:uid="{05F57951-93C1-46CE-A02D-B4B51DE9C5AF}"/>
    <cellStyle name="Normal" xfId="0" builtinId="0"/>
    <cellStyle name="Normal 2 2" xfId="1" xr:uid="{FD50BBD0-C980-4568-88CD-D9A40E9FC0F0}"/>
    <cellStyle name="Normal 2 3" xfId="3" xr:uid="{21C68A8E-BFBD-4164-8F73-9EF05C224818}"/>
    <cellStyle name="Normal 4" xfId="4" xr:uid="{9E88BD73-8AFE-467B-956C-F0E8810F0A20}"/>
  </cellStyles>
  <dxfs count="0"/>
  <tableStyles count="0" defaultTableStyle="TableStyleMedium2" defaultPivotStyle="PivotStyleLight16"/>
  <colors>
    <mruColors>
      <color rgb="FFFF999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1263650</xdr:colOff>
      <xdr:row>0</xdr:row>
      <xdr:rowOff>57150</xdr:rowOff>
    </xdr:from>
    <xdr:to>
      <xdr:col>6</xdr:col>
      <xdr:colOff>1638300</xdr:colOff>
      <xdr:row>2</xdr:row>
      <xdr:rowOff>196850</xdr:rowOff>
    </xdr:to>
    <xdr:pic>
      <xdr:nvPicPr>
        <xdr:cNvPr id="2" name="Picture 1" descr="U.S. Department of Homeland Security Seal, U.S Citizenship and Immigration Services Logo">
          <a:extLst>
            <a:ext uri="{FF2B5EF4-FFF2-40B4-BE49-F238E27FC236}">
              <a16:creationId xmlns:a16="http://schemas.microsoft.com/office/drawing/2014/main" id="{5437304F-6CA8-4CDC-B758-CF4E494DE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1900" y="57150"/>
          <a:ext cx="2079625" cy="63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1301750</xdr:colOff>
      <xdr:row>0</xdr:row>
      <xdr:rowOff>44450</xdr:rowOff>
    </xdr:from>
    <xdr:to>
      <xdr:col>6</xdr:col>
      <xdr:colOff>1676400</xdr:colOff>
      <xdr:row>2</xdr:row>
      <xdr:rowOff>177800</xdr:rowOff>
    </xdr:to>
    <xdr:pic>
      <xdr:nvPicPr>
        <xdr:cNvPr id="2" name="Picture 1" descr="U.S. Department of Homeland Security Seal, U.S Citizenship and Immigration Services Logo">
          <a:extLst>
            <a:ext uri="{FF2B5EF4-FFF2-40B4-BE49-F238E27FC236}">
              <a16:creationId xmlns:a16="http://schemas.microsoft.com/office/drawing/2014/main" id="{4EA7D937-795F-419E-865B-EF786B7C7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6750" y="44450"/>
          <a:ext cx="2079625"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609600</xdr:colOff>
      <xdr:row>0</xdr:row>
      <xdr:rowOff>25400</xdr:rowOff>
    </xdr:from>
    <xdr:to>
      <xdr:col>6</xdr:col>
      <xdr:colOff>838200</xdr:colOff>
      <xdr:row>2</xdr:row>
      <xdr:rowOff>161925</xdr:rowOff>
    </xdr:to>
    <xdr:pic>
      <xdr:nvPicPr>
        <xdr:cNvPr id="2" name="Picture 1" descr="U.S. Department of Homeland Security Seal, U.S Citizenship and Immigration Services Logo">
          <a:extLst>
            <a:ext uri="{FF2B5EF4-FFF2-40B4-BE49-F238E27FC236}">
              <a16:creationId xmlns:a16="http://schemas.microsoft.com/office/drawing/2014/main" id="{09AF6FDC-36F5-403E-80D8-DAA6C8F6D1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9850" y="25400"/>
          <a:ext cx="2076450" cy="63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641350</xdr:colOff>
      <xdr:row>0</xdr:row>
      <xdr:rowOff>44450</xdr:rowOff>
    </xdr:from>
    <xdr:to>
      <xdr:col>6</xdr:col>
      <xdr:colOff>866775</xdr:colOff>
      <xdr:row>2</xdr:row>
      <xdr:rowOff>180975</xdr:rowOff>
    </xdr:to>
    <xdr:pic>
      <xdr:nvPicPr>
        <xdr:cNvPr id="2" name="Picture 1" descr="U.S. Department of Homeland Security Seal, U.S Citizenship and Immigration Services Logo">
          <a:extLst>
            <a:ext uri="{FF2B5EF4-FFF2-40B4-BE49-F238E27FC236}">
              <a16:creationId xmlns:a16="http://schemas.microsoft.com/office/drawing/2014/main" id="{97ABBBC7-D26D-4DF7-A6FA-BFC3E7F991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8300" y="44450"/>
          <a:ext cx="2073275" cy="631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15804-E654-4CAD-9D0A-51D544FCA8D8}">
  <sheetPr>
    <tabColor rgb="FF003366"/>
    <pageSetUpPr fitToPage="1"/>
  </sheetPr>
  <dimension ref="A1:I65"/>
  <sheetViews>
    <sheetView showGridLines="0" tabSelected="1" zoomScaleNormal="100" zoomScaleSheetLayoutView="100" workbookViewId="0"/>
  </sheetViews>
  <sheetFormatPr defaultColWidth="9.1796875" defaultRowHeight="14.5" x14ac:dyDescent="0.35"/>
  <cols>
    <col min="1" max="1" width="30.54296875" style="4" customWidth="1"/>
    <col min="2" max="7" width="25.54296875" style="4" customWidth="1"/>
    <col min="8" max="8" width="9.1796875" style="1"/>
    <col min="9" max="9" width="9.1796875" style="2"/>
    <col min="10" max="16384" width="9.1796875" style="1"/>
  </cols>
  <sheetData>
    <row r="1" spans="1:7" ht="20.149999999999999" customHeight="1" x14ac:dyDescent="0.35">
      <c r="A1" s="33" t="s">
        <v>116</v>
      </c>
      <c r="B1" s="3"/>
      <c r="C1" s="3"/>
      <c r="D1" s="3"/>
      <c r="E1" s="3"/>
      <c r="F1" s="3"/>
      <c r="G1" s="34"/>
    </row>
    <row r="2" spans="1:7" ht="20.149999999999999" customHeight="1" x14ac:dyDescent="0.35">
      <c r="A2" s="72" t="s">
        <v>82</v>
      </c>
      <c r="B2" s="3"/>
      <c r="C2" s="3"/>
      <c r="D2" s="3"/>
      <c r="E2" s="3"/>
      <c r="F2" s="3"/>
      <c r="G2" s="34"/>
    </row>
    <row r="3" spans="1:7" ht="20.149999999999999" customHeight="1" x14ac:dyDescent="0.35">
      <c r="A3" s="73" t="s">
        <v>179</v>
      </c>
      <c r="B3" s="3"/>
      <c r="C3" s="3"/>
      <c r="D3" s="3"/>
      <c r="E3" s="3"/>
      <c r="F3" s="3"/>
      <c r="G3" s="34"/>
    </row>
    <row r="4" spans="1:7" ht="15" customHeight="1" x14ac:dyDescent="0.35">
      <c r="A4" s="35"/>
      <c r="B4" s="77" t="s">
        <v>83</v>
      </c>
      <c r="C4" s="78"/>
      <c r="D4" s="78"/>
      <c r="E4" s="78"/>
      <c r="F4" s="78"/>
      <c r="G4" s="79"/>
    </row>
    <row r="5" spans="1:7" x14ac:dyDescent="0.35">
      <c r="A5" s="36" t="s">
        <v>84</v>
      </c>
      <c r="B5" s="53" t="s">
        <v>117</v>
      </c>
      <c r="C5" s="54" t="s">
        <v>118</v>
      </c>
      <c r="D5" s="54" t="s">
        <v>119</v>
      </c>
      <c r="E5" s="54" t="s">
        <v>120</v>
      </c>
      <c r="F5" s="55" t="s">
        <v>121</v>
      </c>
      <c r="G5" s="56" t="s">
        <v>122</v>
      </c>
    </row>
    <row r="6" spans="1:7" ht="14.5" customHeight="1" x14ac:dyDescent="0.35">
      <c r="A6" s="37" t="s">
        <v>85</v>
      </c>
      <c r="B6" s="5"/>
      <c r="C6" s="6"/>
      <c r="D6" s="7"/>
      <c r="E6" s="5"/>
      <c r="F6" s="6"/>
      <c r="G6" s="38"/>
    </row>
    <row r="7" spans="1:7" ht="14.5" customHeight="1" x14ac:dyDescent="0.35">
      <c r="A7" s="44" t="s">
        <v>86</v>
      </c>
      <c r="B7" s="29">
        <v>152430</v>
      </c>
      <c r="C7" s="29">
        <v>5396</v>
      </c>
      <c r="D7" s="29">
        <v>157826</v>
      </c>
      <c r="E7" s="29">
        <v>1684</v>
      </c>
      <c r="F7" s="29">
        <v>0</v>
      </c>
      <c r="G7" s="40">
        <v>150746</v>
      </c>
    </row>
    <row r="8" spans="1:7" ht="14.5" customHeight="1" x14ac:dyDescent="0.35">
      <c r="A8" s="44" t="s">
        <v>87</v>
      </c>
      <c r="B8" s="29">
        <v>427612</v>
      </c>
      <c r="C8" s="29">
        <v>16355</v>
      </c>
      <c r="D8" s="29">
        <v>443967</v>
      </c>
      <c r="E8" s="29">
        <v>470596</v>
      </c>
      <c r="F8" s="29">
        <v>11019</v>
      </c>
      <c r="G8" s="40">
        <v>96730</v>
      </c>
    </row>
    <row r="9" spans="1:7" ht="14.5" customHeight="1" x14ac:dyDescent="0.35">
      <c r="A9" s="41">
        <v>2014</v>
      </c>
      <c r="B9" s="31">
        <v>238898</v>
      </c>
      <c r="C9" s="31">
        <v>24889</v>
      </c>
      <c r="D9" s="31">
        <v>263787</v>
      </c>
      <c r="E9" s="31">
        <v>158154</v>
      </c>
      <c r="F9" s="31">
        <v>21069</v>
      </c>
      <c r="G9" s="42">
        <v>156343</v>
      </c>
    </row>
    <row r="10" spans="1:7" ht="14.5" customHeight="1" x14ac:dyDescent="0.35">
      <c r="A10" s="43" t="s">
        <v>124</v>
      </c>
      <c r="B10" s="30">
        <v>122474</v>
      </c>
      <c r="C10" s="30">
        <v>19064</v>
      </c>
      <c r="D10" s="30">
        <v>141538</v>
      </c>
      <c r="E10" s="29">
        <v>135920</v>
      </c>
      <c r="F10" s="29">
        <v>21066</v>
      </c>
      <c r="G10" s="40">
        <v>62158</v>
      </c>
    </row>
    <row r="11" spans="1:7" ht="14.5" customHeight="1" x14ac:dyDescent="0.35">
      <c r="A11" s="43" t="s">
        <v>125</v>
      </c>
      <c r="B11" s="30">
        <v>116424</v>
      </c>
      <c r="C11" s="30">
        <v>5825</v>
      </c>
      <c r="D11" s="30">
        <v>122249</v>
      </c>
      <c r="E11" s="29">
        <v>22234</v>
      </c>
      <c r="F11" s="29">
        <v>3</v>
      </c>
      <c r="G11" s="40">
        <v>94185</v>
      </c>
    </row>
    <row r="12" spans="1:7" ht="14.5" customHeight="1" x14ac:dyDescent="0.35">
      <c r="A12" s="41">
        <v>2015</v>
      </c>
      <c r="B12" s="31">
        <v>448846</v>
      </c>
      <c r="C12" s="31">
        <v>35502</v>
      </c>
      <c r="D12" s="31">
        <v>484348</v>
      </c>
      <c r="E12" s="31">
        <v>510329</v>
      </c>
      <c r="F12" s="31">
        <v>21437</v>
      </c>
      <c r="G12" s="42">
        <v>73325</v>
      </c>
    </row>
    <row r="13" spans="1:7" ht="14.5" customHeight="1" x14ac:dyDescent="0.35">
      <c r="A13" s="44" t="s">
        <v>126</v>
      </c>
      <c r="B13" s="29">
        <v>85300</v>
      </c>
      <c r="C13" s="29">
        <v>7170</v>
      </c>
      <c r="D13" s="29">
        <v>92470</v>
      </c>
      <c r="E13" s="29">
        <v>90827</v>
      </c>
      <c r="F13" s="29">
        <v>19087</v>
      </c>
      <c r="G13" s="40">
        <v>37472</v>
      </c>
    </row>
    <row r="14" spans="1:7" ht="14.5" customHeight="1" x14ac:dyDescent="0.35">
      <c r="A14" s="44" t="s">
        <v>127</v>
      </c>
      <c r="B14" s="29">
        <v>363546</v>
      </c>
      <c r="C14" s="29">
        <v>28332</v>
      </c>
      <c r="D14" s="29">
        <v>391878</v>
      </c>
      <c r="E14" s="29">
        <v>419502</v>
      </c>
      <c r="F14" s="29">
        <v>2350</v>
      </c>
      <c r="G14" s="40">
        <v>35853</v>
      </c>
    </row>
    <row r="15" spans="1:7" ht="14.5" customHeight="1" x14ac:dyDescent="0.35">
      <c r="A15" s="41">
        <v>2016</v>
      </c>
      <c r="B15" s="31">
        <v>260701</v>
      </c>
      <c r="C15" s="31">
        <v>12317</v>
      </c>
      <c r="D15" s="31">
        <v>273018</v>
      </c>
      <c r="E15" s="31">
        <v>198809</v>
      </c>
      <c r="F15" s="31">
        <v>14551</v>
      </c>
      <c r="G15" s="42">
        <v>119790</v>
      </c>
    </row>
    <row r="16" spans="1:7" ht="14.5" customHeight="1" x14ac:dyDescent="0.35">
      <c r="A16" s="44" t="s">
        <v>128</v>
      </c>
      <c r="B16" s="29">
        <v>73347</v>
      </c>
      <c r="C16" s="29">
        <v>1151</v>
      </c>
      <c r="D16" s="29">
        <v>74498</v>
      </c>
      <c r="E16" s="29">
        <v>52990</v>
      </c>
      <c r="F16" s="29">
        <v>11525</v>
      </c>
      <c r="G16" s="40">
        <v>45455</v>
      </c>
    </row>
    <row r="17" spans="1:7" ht="14.5" customHeight="1" x14ac:dyDescent="0.35">
      <c r="A17" s="44" t="s">
        <v>129</v>
      </c>
      <c r="B17" s="29">
        <v>187354</v>
      </c>
      <c r="C17" s="29">
        <v>11166</v>
      </c>
      <c r="D17" s="29">
        <v>198520</v>
      </c>
      <c r="E17" s="29">
        <v>145819</v>
      </c>
      <c r="F17" s="29">
        <v>3026</v>
      </c>
      <c r="G17" s="40">
        <v>74335</v>
      </c>
    </row>
    <row r="18" spans="1:7" ht="14.5" customHeight="1" x14ac:dyDescent="0.35">
      <c r="A18" s="41">
        <v>2017</v>
      </c>
      <c r="B18" s="31">
        <v>472850</v>
      </c>
      <c r="C18" s="31">
        <v>43455</v>
      </c>
      <c r="D18" s="31">
        <v>516305</v>
      </c>
      <c r="E18" s="31">
        <v>461908</v>
      </c>
      <c r="F18" s="31">
        <v>13190</v>
      </c>
      <c r="G18" s="42">
        <v>117454</v>
      </c>
    </row>
    <row r="19" spans="1:7" ht="14.5" customHeight="1" x14ac:dyDescent="0.35">
      <c r="A19" s="44" t="s">
        <v>130</v>
      </c>
      <c r="B19" s="29">
        <v>45593</v>
      </c>
      <c r="C19" s="29">
        <v>44</v>
      </c>
      <c r="D19" s="29">
        <v>45637</v>
      </c>
      <c r="E19" s="29">
        <v>47132</v>
      </c>
      <c r="F19" s="29">
        <v>9161</v>
      </c>
      <c r="G19" s="40">
        <v>34702</v>
      </c>
    </row>
    <row r="20" spans="1:7" ht="14.5" customHeight="1" x14ac:dyDescent="0.35">
      <c r="A20" s="44" t="s">
        <v>131</v>
      </c>
      <c r="B20" s="29">
        <v>427257</v>
      </c>
      <c r="C20" s="29">
        <v>43411</v>
      </c>
      <c r="D20" s="29">
        <v>470668</v>
      </c>
      <c r="E20" s="29">
        <v>414776</v>
      </c>
      <c r="F20" s="29">
        <v>4029</v>
      </c>
      <c r="G20" s="40">
        <v>82752</v>
      </c>
    </row>
    <row r="21" spans="1:7" ht="14.5" customHeight="1" x14ac:dyDescent="0.35">
      <c r="A21" s="41">
        <v>2018</v>
      </c>
      <c r="B21" s="31">
        <v>260120</v>
      </c>
      <c r="C21" s="31">
        <v>29651</v>
      </c>
      <c r="D21" s="31">
        <v>289771</v>
      </c>
      <c r="E21" s="31">
        <v>319340</v>
      </c>
      <c r="F21" s="31">
        <v>12533</v>
      </c>
      <c r="G21" s="42">
        <v>45666</v>
      </c>
    </row>
    <row r="22" spans="1:7" ht="14.5" customHeight="1" x14ac:dyDescent="0.35">
      <c r="A22" s="44" t="s">
        <v>132</v>
      </c>
      <c r="B22" s="29">
        <v>2060</v>
      </c>
      <c r="C22" s="29">
        <v>2</v>
      </c>
      <c r="D22" s="29">
        <v>2062</v>
      </c>
      <c r="E22" s="29">
        <v>24381</v>
      </c>
      <c r="F22" s="29">
        <v>8248</v>
      </c>
      <c r="G22" s="40">
        <v>4121</v>
      </c>
    </row>
    <row r="23" spans="1:7" ht="14.5" customHeight="1" x14ac:dyDescent="0.35">
      <c r="A23" s="44" t="s">
        <v>133</v>
      </c>
      <c r="B23" s="29">
        <v>258060</v>
      </c>
      <c r="C23" s="29">
        <v>29649</v>
      </c>
      <c r="D23" s="29">
        <v>287709</v>
      </c>
      <c r="E23" s="29">
        <v>294959</v>
      </c>
      <c r="F23" s="29">
        <v>4285</v>
      </c>
      <c r="G23" s="40">
        <v>41545</v>
      </c>
    </row>
    <row r="24" spans="1:7" ht="14.5" customHeight="1" x14ac:dyDescent="0.35">
      <c r="A24" s="41">
        <v>2019</v>
      </c>
      <c r="B24" s="31">
        <v>386156</v>
      </c>
      <c r="C24" s="31">
        <v>22006</v>
      </c>
      <c r="D24" s="31">
        <v>408162</v>
      </c>
      <c r="E24" s="31">
        <v>387438</v>
      </c>
      <c r="F24" s="31">
        <v>4944</v>
      </c>
      <c r="G24" s="42">
        <v>39409</v>
      </c>
    </row>
    <row r="25" spans="1:7" ht="14.5" customHeight="1" x14ac:dyDescent="0.35">
      <c r="A25" s="44" t="s">
        <v>134</v>
      </c>
      <c r="B25" s="29">
        <v>1570</v>
      </c>
      <c r="C25" s="29">
        <v>4</v>
      </c>
      <c r="D25" s="29">
        <v>1574</v>
      </c>
      <c r="E25" s="29">
        <v>1774</v>
      </c>
      <c r="F25" s="29">
        <v>1602</v>
      </c>
      <c r="G25" s="40">
        <v>2309</v>
      </c>
    </row>
    <row r="26" spans="1:7" ht="14.5" customHeight="1" x14ac:dyDescent="0.35">
      <c r="A26" s="44" t="s">
        <v>135</v>
      </c>
      <c r="B26" s="29">
        <v>384586</v>
      </c>
      <c r="C26" s="29">
        <v>22002</v>
      </c>
      <c r="D26" s="29">
        <v>406588</v>
      </c>
      <c r="E26" s="29">
        <v>385664</v>
      </c>
      <c r="F26" s="29">
        <v>3342</v>
      </c>
      <c r="G26" s="40">
        <v>37100</v>
      </c>
    </row>
    <row r="27" spans="1:7" ht="14.5" customHeight="1" x14ac:dyDescent="0.35">
      <c r="A27" s="41">
        <v>2020</v>
      </c>
      <c r="B27" s="31">
        <v>313939</v>
      </c>
      <c r="C27" s="31">
        <v>29994</v>
      </c>
      <c r="D27" s="31">
        <v>343933</v>
      </c>
      <c r="E27" s="31">
        <v>294655</v>
      </c>
      <c r="F27" s="31">
        <v>3998</v>
      </c>
      <c r="G27" s="42">
        <v>54678</v>
      </c>
    </row>
    <row r="28" spans="1:7" ht="14.5" customHeight="1" x14ac:dyDescent="0.35">
      <c r="A28" s="44" t="s">
        <v>136</v>
      </c>
      <c r="B28" s="29">
        <v>4289</v>
      </c>
      <c r="C28" s="29">
        <v>6</v>
      </c>
      <c r="D28" s="29">
        <v>4295</v>
      </c>
      <c r="E28" s="29">
        <v>1792</v>
      </c>
      <c r="F28" s="29">
        <v>715</v>
      </c>
      <c r="G28" s="40">
        <v>4086</v>
      </c>
    </row>
    <row r="29" spans="1:7" ht="14.5" customHeight="1" x14ac:dyDescent="0.35">
      <c r="A29" s="44" t="s">
        <v>137</v>
      </c>
      <c r="B29" s="29">
        <v>309650</v>
      </c>
      <c r="C29" s="29">
        <v>29988</v>
      </c>
      <c r="D29" s="29">
        <v>339638</v>
      </c>
      <c r="E29" s="29">
        <v>292863</v>
      </c>
      <c r="F29" s="29">
        <v>3283</v>
      </c>
      <c r="G29" s="40">
        <v>50592</v>
      </c>
    </row>
    <row r="30" spans="1:7" ht="14.5" customHeight="1" x14ac:dyDescent="0.35">
      <c r="A30" s="41">
        <v>2021</v>
      </c>
      <c r="B30" s="31">
        <v>438936</v>
      </c>
      <c r="C30" s="31">
        <v>31700</v>
      </c>
      <c r="D30" s="31">
        <v>470636</v>
      </c>
      <c r="E30" s="31">
        <v>359206</v>
      </c>
      <c r="F30" s="31">
        <v>3799</v>
      </c>
      <c r="G30" s="42">
        <v>130596</v>
      </c>
    </row>
    <row r="31" spans="1:7" ht="14.5" customHeight="1" x14ac:dyDescent="0.35">
      <c r="A31" s="44" t="s">
        <v>138</v>
      </c>
      <c r="B31" s="29">
        <v>94216</v>
      </c>
      <c r="C31" s="29">
        <v>109</v>
      </c>
      <c r="D31" s="29">
        <v>94325</v>
      </c>
      <c r="E31" s="29">
        <v>7992</v>
      </c>
      <c r="F31" s="29">
        <v>1122</v>
      </c>
      <c r="G31" s="40">
        <v>89187</v>
      </c>
    </row>
    <row r="32" spans="1:7" ht="14.5" customHeight="1" x14ac:dyDescent="0.35">
      <c r="A32" s="44" t="s">
        <v>139</v>
      </c>
      <c r="B32" s="29">
        <v>344720</v>
      </c>
      <c r="C32" s="29">
        <v>31591</v>
      </c>
      <c r="D32" s="29">
        <v>376311</v>
      </c>
      <c r="E32" s="29">
        <v>351214</v>
      </c>
      <c r="F32" s="29">
        <v>2677</v>
      </c>
      <c r="G32" s="40">
        <v>41409</v>
      </c>
    </row>
    <row r="33" spans="1:7" ht="14.5" customHeight="1" x14ac:dyDescent="0.35">
      <c r="A33" s="41">
        <v>2022</v>
      </c>
      <c r="B33" s="31">
        <v>286162</v>
      </c>
      <c r="C33" s="31">
        <v>18249</v>
      </c>
      <c r="D33" s="31">
        <v>304411</v>
      </c>
      <c r="E33" s="31">
        <v>295361</v>
      </c>
      <c r="F33" s="31">
        <v>2551</v>
      </c>
      <c r="G33" s="42">
        <v>118766</v>
      </c>
    </row>
    <row r="34" spans="1:7" ht="14.5" customHeight="1" x14ac:dyDescent="0.35">
      <c r="A34" s="44" t="s">
        <v>140</v>
      </c>
      <c r="B34" s="29">
        <v>5459</v>
      </c>
      <c r="C34" s="29">
        <v>22</v>
      </c>
      <c r="D34" s="29">
        <v>5481</v>
      </c>
      <c r="E34" s="29">
        <v>2</v>
      </c>
      <c r="F34" s="29">
        <v>5</v>
      </c>
      <c r="G34" s="40">
        <v>94634</v>
      </c>
    </row>
    <row r="35" spans="1:7" ht="14.5" customHeight="1" x14ac:dyDescent="0.35">
      <c r="A35" s="44" t="s">
        <v>141</v>
      </c>
      <c r="B35" s="29">
        <v>280703</v>
      </c>
      <c r="C35" s="29">
        <v>18227</v>
      </c>
      <c r="D35" s="29">
        <v>298930</v>
      </c>
      <c r="E35" s="29">
        <v>295359</v>
      </c>
      <c r="F35" s="29">
        <v>2546</v>
      </c>
      <c r="G35" s="40">
        <v>24132</v>
      </c>
    </row>
    <row r="36" spans="1:7" ht="14.5" customHeight="1" x14ac:dyDescent="0.35">
      <c r="A36" s="41">
        <v>2023</v>
      </c>
      <c r="B36" s="31">
        <v>333384</v>
      </c>
      <c r="C36" s="31">
        <v>14004</v>
      </c>
      <c r="D36" s="31">
        <v>347388</v>
      </c>
      <c r="E36" s="31">
        <v>304275</v>
      </c>
      <c r="F36" s="31">
        <v>1721</v>
      </c>
      <c r="G36" s="42">
        <v>146085</v>
      </c>
    </row>
    <row r="37" spans="1:7" ht="14.5" customHeight="1" x14ac:dyDescent="0.35">
      <c r="A37" s="44" t="s">
        <v>142</v>
      </c>
      <c r="B37" s="29">
        <v>3415</v>
      </c>
      <c r="C37" s="29">
        <v>22</v>
      </c>
      <c r="D37" s="29">
        <v>3437</v>
      </c>
      <c r="E37" s="29">
        <v>2</v>
      </c>
      <c r="F37" s="29">
        <v>8</v>
      </c>
      <c r="G37" s="40">
        <v>97985</v>
      </c>
    </row>
    <row r="38" spans="1:7" ht="14.5" customHeight="1" x14ac:dyDescent="0.35">
      <c r="A38" s="44" t="s">
        <v>143</v>
      </c>
      <c r="B38" s="29">
        <v>329969</v>
      </c>
      <c r="C38" s="29">
        <v>13982</v>
      </c>
      <c r="D38" s="29">
        <v>343951</v>
      </c>
      <c r="E38" s="29">
        <v>304273</v>
      </c>
      <c r="F38" s="29">
        <v>1713</v>
      </c>
      <c r="G38" s="40">
        <v>48100</v>
      </c>
    </row>
    <row r="39" spans="1:7" ht="14.5" customHeight="1" x14ac:dyDescent="0.35">
      <c r="A39" s="41">
        <v>2024</v>
      </c>
      <c r="B39" s="31">
        <v>264528</v>
      </c>
      <c r="C39" s="31">
        <v>15871</v>
      </c>
      <c r="D39" s="31">
        <v>280399</v>
      </c>
      <c r="E39" s="31">
        <v>289597</v>
      </c>
      <c r="F39" s="31">
        <v>1843</v>
      </c>
      <c r="G39" s="42">
        <v>119165</v>
      </c>
    </row>
    <row r="40" spans="1:7" ht="14.5" customHeight="1" x14ac:dyDescent="0.35">
      <c r="A40" s="44" t="s">
        <v>144</v>
      </c>
      <c r="B40" s="29">
        <v>2354</v>
      </c>
      <c r="C40" s="29">
        <v>8</v>
      </c>
      <c r="D40" s="29">
        <v>2362</v>
      </c>
      <c r="E40" s="29">
        <v>0</v>
      </c>
      <c r="F40" s="29">
        <v>0</v>
      </c>
      <c r="G40" s="40">
        <v>100338</v>
      </c>
    </row>
    <row r="41" spans="1:7" ht="14.5" customHeight="1" x14ac:dyDescent="0.35">
      <c r="A41" s="44" t="s">
        <v>145</v>
      </c>
      <c r="B41" s="29">
        <v>262174</v>
      </c>
      <c r="C41" s="29">
        <v>15863</v>
      </c>
      <c r="D41" s="29">
        <v>278037</v>
      </c>
      <c r="E41" s="29">
        <v>289597</v>
      </c>
      <c r="F41" s="29">
        <v>1843</v>
      </c>
      <c r="G41" s="40">
        <v>18827</v>
      </c>
    </row>
    <row r="42" spans="1:7" ht="14.5" customHeight="1" x14ac:dyDescent="0.35">
      <c r="A42" s="41">
        <v>2025</v>
      </c>
      <c r="B42" s="31">
        <v>298650</v>
      </c>
      <c r="C42" s="31">
        <v>14108</v>
      </c>
      <c r="D42" s="31">
        <v>312759</v>
      </c>
      <c r="E42" s="31">
        <v>285637</v>
      </c>
      <c r="F42" s="31">
        <v>2110</v>
      </c>
      <c r="G42" s="42">
        <v>130064</v>
      </c>
    </row>
    <row r="43" spans="1:7" ht="14.5" customHeight="1" x14ac:dyDescent="0.35">
      <c r="A43" s="44" t="s">
        <v>146</v>
      </c>
      <c r="B43" s="29">
        <v>2405</v>
      </c>
      <c r="C43" s="29">
        <v>16</v>
      </c>
      <c r="D43" s="29">
        <v>2421</v>
      </c>
      <c r="E43" s="29">
        <v>1</v>
      </c>
      <c r="F43" s="29">
        <v>3</v>
      </c>
      <c r="G43" s="40">
        <v>102738</v>
      </c>
    </row>
    <row r="44" spans="1:7" ht="14.5" customHeight="1" x14ac:dyDescent="0.35">
      <c r="A44" s="44" t="s">
        <v>147</v>
      </c>
      <c r="B44" s="29">
        <v>296245</v>
      </c>
      <c r="C44" s="29">
        <v>14092</v>
      </c>
      <c r="D44" s="29">
        <v>310338</v>
      </c>
      <c r="E44" s="29">
        <v>285636</v>
      </c>
      <c r="F44" s="29">
        <v>2107</v>
      </c>
      <c r="G44" s="40">
        <v>27326</v>
      </c>
    </row>
    <row r="45" spans="1:7" ht="14.5" customHeight="1" x14ac:dyDescent="0.35">
      <c r="A45" s="41" t="s">
        <v>0</v>
      </c>
      <c r="B45" s="31">
        <v>4583212</v>
      </c>
      <c r="C45" s="31">
        <v>313497</v>
      </c>
      <c r="D45" s="31">
        <v>4896710</v>
      </c>
      <c r="E45" s="31">
        <v>4336989</v>
      </c>
      <c r="F45" s="31">
        <v>114765</v>
      </c>
      <c r="G45" s="42">
        <v>130064</v>
      </c>
    </row>
    <row r="46" spans="1:7" s="4" customFormat="1" ht="14.5" customHeight="1" x14ac:dyDescent="0.3">
      <c r="A46" s="44" t="s">
        <v>148</v>
      </c>
      <c r="B46" s="29">
        <v>1022524</v>
      </c>
      <c r="C46" s="29">
        <v>49369</v>
      </c>
      <c r="D46" s="29">
        <v>1071893</v>
      </c>
      <c r="E46" s="29">
        <v>835093</v>
      </c>
      <c r="F46" s="29">
        <v>83561</v>
      </c>
      <c r="G46" s="40">
        <v>102738</v>
      </c>
    </row>
    <row r="47" spans="1:7" s="4" customFormat="1" ht="14.5" customHeight="1" thickBot="1" x14ac:dyDescent="0.35">
      <c r="A47" s="45" t="s">
        <v>149</v>
      </c>
      <c r="B47" s="46">
        <v>3560688</v>
      </c>
      <c r="C47" s="46">
        <v>264128</v>
      </c>
      <c r="D47" s="46">
        <v>3824817</v>
      </c>
      <c r="E47" s="46">
        <v>3501896</v>
      </c>
      <c r="F47" s="46">
        <v>31204</v>
      </c>
      <c r="G47" s="47">
        <v>27326</v>
      </c>
    </row>
    <row r="48" spans="1:7" s="4" customFormat="1" ht="29.15" customHeight="1" x14ac:dyDescent="0.3">
      <c r="A48" s="104" t="s">
        <v>89</v>
      </c>
      <c r="B48" s="25"/>
      <c r="C48" s="25"/>
      <c r="D48" s="25"/>
      <c r="E48" s="25"/>
      <c r="F48" s="25"/>
      <c r="G48" s="25"/>
    </row>
    <row r="49" spans="1:7" x14ac:dyDescent="0.35">
      <c r="A49" s="105" t="s">
        <v>90</v>
      </c>
      <c r="B49" s="8"/>
      <c r="C49" s="8"/>
      <c r="D49" s="10"/>
      <c r="E49" s="11"/>
      <c r="F49" s="10"/>
      <c r="G49" s="10"/>
    </row>
    <row r="50" spans="1:7" ht="29.15" customHeight="1" x14ac:dyDescent="0.35">
      <c r="A50" s="106" t="s">
        <v>91</v>
      </c>
      <c r="B50" s="8"/>
      <c r="C50" s="8"/>
      <c r="D50" s="10"/>
      <c r="E50" s="11"/>
      <c r="F50" s="10"/>
      <c r="G50" s="10"/>
    </row>
    <row r="51" spans="1:7" s="2" customFormat="1" x14ac:dyDescent="0.35">
      <c r="A51" s="107" t="s">
        <v>166</v>
      </c>
      <c r="B51" s="8"/>
      <c r="C51" s="8"/>
      <c r="D51" s="10"/>
      <c r="E51" s="10"/>
      <c r="F51" s="10"/>
      <c r="G51" s="10"/>
    </row>
    <row r="52" spans="1:7" s="2" customFormat="1" x14ac:dyDescent="0.35">
      <c r="A52" s="107" t="s">
        <v>167</v>
      </c>
      <c r="B52" s="8"/>
      <c r="C52" s="8"/>
      <c r="D52" s="10"/>
      <c r="E52" s="10"/>
      <c r="F52" s="9"/>
      <c r="G52" s="9"/>
    </row>
    <row r="53" spans="1:7" s="2" customFormat="1" x14ac:dyDescent="0.35">
      <c r="A53" s="107" t="s">
        <v>168</v>
      </c>
      <c r="B53" s="8"/>
      <c r="C53" s="8"/>
      <c r="D53" s="10"/>
      <c r="E53" s="11"/>
      <c r="F53" s="11"/>
      <c r="G53" s="11"/>
    </row>
    <row r="54" spans="1:7" x14ac:dyDescent="0.35">
      <c r="A54" s="108" t="s">
        <v>169</v>
      </c>
      <c r="B54" s="11"/>
      <c r="C54" s="11"/>
      <c r="D54" s="11"/>
      <c r="E54" s="11"/>
      <c r="F54" s="11"/>
      <c r="G54" s="11"/>
    </row>
    <row r="55" spans="1:7" x14ac:dyDescent="0.35">
      <c r="A55" s="108" t="s">
        <v>170</v>
      </c>
      <c r="B55" s="11"/>
      <c r="C55" s="11"/>
      <c r="D55" s="11"/>
      <c r="E55" s="11"/>
      <c r="F55" s="11"/>
      <c r="G55" s="11"/>
    </row>
    <row r="56" spans="1:7" x14ac:dyDescent="0.35">
      <c r="A56" s="109" t="s">
        <v>171</v>
      </c>
      <c r="B56" s="11"/>
      <c r="C56" s="11"/>
      <c r="D56" s="11"/>
      <c r="E56" s="11"/>
      <c r="F56" s="11"/>
      <c r="G56" s="11"/>
    </row>
    <row r="57" spans="1:7" x14ac:dyDescent="0.35">
      <c r="A57" s="109" t="s">
        <v>113</v>
      </c>
      <c r="B57" s="11"/>
      <c r="C57" s="11"/>
      <c r="D57" s="11"/>
      <c r="E57" s="11"/>
      <c r="F57" s="11"/>
      <c r="G57" s="11"/>
    </row>
    <row r="58" spans="1:7" ht="29.15" customHeight="1" x14ac:dyDescent="0.35">
      <c r="A58" s="110" t="s">
        <v>92</v>
      </c>
      <c r="B58" s="11"/>
      <c r="C58" s="11"/>
      <c r="D58" s="11"/>
      <c r="E58" s="11"/>
      <c r="F58" s="11"/>
      <c r="G58" s="11"/>
    </row>
    <row r="59" spans="1:7" x14ac:dyDescent="0.35">
      <c r="A59" s="111" t="s">
        <v>93</v>
      </c>
      <c r="B59" s="11"/>
      <c r="C59" s="11"/>
      <c r="D59" s="11"/>
      <c r="E59" s="11"/>
      <c r="F59" s="11"/>
      <c r="G59" s="11"/>
    </row>
    <row r="60" spans="1:7" x14ac:dyDescent="0.35">
      <c r="A60" s="112" t="s">
        <v>94</v>
      </c>
      <c r="B60" s="11"/>
      <c r="C60" s="11"/>
      <c r="D60" s="11"/>
      <c r="E60" s="11"/>
      <c r="F60" s="11"/>
      <c r="G60" s="11"/>
    </row>
    <row r="61" spans="1:7" ht="14.9" customHeight="1" x14ac:dyDescent="0.35">
      <c r="A61" s="113" t="s">
        <v>95</v>
      </c>
      <c r="B61" s="13"/>
      <c r="C61" s="13"/>
      <c r="D61" s="13"/>
      <c r="E61" s="13"/>
      <c r="F61" s="13"/>
      <c r="G61" s="13"/>
    </row>
    <row r="62" spans="1:7" s="12" customFormat="1" ht="12" x14ac:dyDescent="0.3">
      <c r="A62" s="114" t="s">
        <v>96</v>
      </c>
      <c r="B62" s="32"/>
      <c r="C62" s="32"/>
      <c r="D62" s="32"/>
      <c r="E62" s="32"/>
      <c r="F62" s="32"/>
      <c r="G62" s="32"/>
    </row>
    <row r="63" spans="1:7" ht="29.15" customHeight="1" x14ac:dyDescent="0.35">
      <c r="A63" s="110" t="s">
        <v>97</v>
      </c>
      <c r="B63" s="13"/>
      <c r="C63" s="13"/>
      <c r="D63" s="13"/>
      <c r="E63" s="13"/>
      <c r="F63" s="13"/>
      <c r="G63" s="13"/>
    </row>
    <row r="64" spans="1:7" s="4" customFormat="1" ht="13" x14ac:dyDescent="0.3">
      <c r="A64" s="111" t="s">
        <v>98</v>
      </c>
      <c r="B64" s="11"/>
      <c r="C64" s="11"/>
      <c r="D64" s="11"/>
      <c r="E64" s="11"/>
      <c r="F64" s="11"/>
      <c r="G64" s="11"/>
    </row>
    <row r="65" spans="1:7" s="4" customFormat="1" ht="13" x14ac:dyDescent="0.3">
      <c r="A65" s="111" t="s">
        <v>180</v>
      </c>
      <c r="B65" s="11"/>
      <c r="C65" s="11"/>
      <c r="D65" s="11"/>
      <c r="E65" s="11"/>
      <c r="F65" s="11"/>
      <c r="G65" s="11"/>
    </row>
  </sheetData>
  <printOptions horizontalCentered="1"/>
  <pageMargins left="0.25" right="0.25" top="0.75" bottom="0.75" header="0.3" footer="0.3"/>
  <pageSetup scale="54" fitToHeight="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B83A-3687-4313-8069-91956A8492A2}">
  <sheetPr>
    <tabColor rgb="FF003366"/>
    <pageSetUpPr fitToPage="1"/>
  </sheetPr>
  <dimension ref="A1:G37"/>
  <sheetViews>
    <sheetView showGridLines="0" workbookViewId="0"/>
  </sheetViews>
  <sheetFormatPr defaultRowHeight="14.5" x14ac:dyDescent="0.35"/>
  <cols>
    <col min="1" max="1" width="40.54296875" customWidth="1"/>
    <col min="2" max="7" width="25.54296875" customWidth="1"/>
  </cols>
  <sheetData>
    <row r="1" spans="1:7" ht="20.149999999999999" customHeight="1" x14ac:dyDescent="0.35">
      <c r="A1" s="93" t="s">
        <v>116</v>
      </c>
      <c r="B1" s="94"/>
      <c r="C1" s="94"/>
      <c r="D1" s="94"/>
      <c r="E1" s="94"/>
      <c r="F1" s="94"/>
      <c r="G1" s="95"/>
    </row>
    <row r="2" spans="1:7" ht="20.149999999999999" customHeight="1" x14ac:dyDescent="0.35">
      <c r="A2" s="72" t="s">
        <v>88</v>
      </c>
      <c r="B2" s="3"/>
      <c r="C2" s="3"/>
      <c r="D2" s="3"/>
      <c r="E2" s="3"/>
      <c r="F2" s="3"/>
      <c r="G2" s="34"/>
    </row>
    <row r="3" spans="1:7" ht="20.149999999999999" customHeight="1" thickBot="1" x14ac:dyDescent="0.4">
      <c r="A3" s="73" t="s">
        <v>179</v>
      </c>
      <c r="B3" s="3"/>
      <c r="C3" s="3"/>
      <c r="D3" s="3"/>
      <c r="E3" s="3"/>
      <c r="F3" s="3"/>
      <c r="G3" s="34"/>
    </row>
    <row r="4" spans="1:7" x14ac:dyDescent="0.35">
      <c r="A4" s="96"/>
      <c r="B4" s="97" t="s">
        <v>83</v>
      </c>
      <c r="C4" s="98"/>
      <c r="D4" s="98"/>
      <c r="E4" s="98"/>
      <c r="F4" s="98"/>
      <c r="G4" s="99"/>
    </row>
    <row r="5" spans="1:7" x14ac:dyDescent="0.35">
      <c r="A5" s="36" t="s">
        <v>84</v>
      </c>
      <c r="B5" s="53" t="s">
        <v>117</v>
      </c>
      <c r="C5" s="54" t="s">
        <v>118</v>
      </c>
      <c r="D5" s="54" t="s">
        <v>119</v>
      </c>
      <c r="E5" s="57" t="s">
        <v>120</v>
      </c>
      <c r="F5" s="58" t="s">
        <v>121</v>
      </c>
      <c r="G5" s="59" t="s">
        <v>122</v>
      </c>
    </row>
    <row r="6" spans="1:7" x14ac:dyDescent="0.35">
      <c r="A6" s="37" t="s">
        <v>156</v>
      </c>
      <c r="B6" s="90"/>
      <c r="C6" s="91"/>
      <c r="D6" s="92"/>
      <c r="E6" s="91"/>
      <c r="F6" s="91"/>
      <c r="G6" s="48"/>
    </row>
    <row r="7" spans="1:7" x14ac:dyDescent="0.35">
      <c r="A7" s="100" t="s">
        <v>1</v>
      </c>
      <c r="B7" s="29">
        <v>72141</v>
      </c>
      <c r="C7" s="29">
        <v>3659</v>
      </c>
      <c r="D7" s="29">
        <v>75800</v>
      </c>
      <c r="E7" s="29">
        <v>69363</v>
      </c>
      <c r="F7" s="29">
        <v>482</v>
      </c>
      <c r="G7" s="40">
        <v>121460</v>
      </c>
    </row>
    <row r="8" spans="1:7" x14ac:dyDescent="0.35">
      <c r="A8" s="39" t="s">
        <v>150</v>
      </c>
      <c r="B8" s="29">
        <v>663</v>
      </c>
      <c r="C8" s="29">
        <v>4</v>
      </c>
      <c r="D8" s="29">
        <v>667</v>
      </c>
      <c r="E8" s="29">
        <v>0</v>
      </c>
      <c r="F8" s="29">
        <v>0</v>
      </c>
      <c r="G8" s="40">
        <v>101000</v>
      </c>
    </row>
    <row r="9" spans="1:7" x14ac:dyDescent="0.35">
      <c r="A9" s="39" t="s">
        <v>151</v>
      </c>
      <c r="B9" s="29">
        <v>71478</v>
      </c>
      <c r="C9" s="29">
        <v>3655</v>
      </c>
      <c r="D9" s="29">
        <v>75133</v>
      </c>
      <c r="E9" s="29">
        <v>69363</v>
      </c>
      <c r="F9" s="29">
        <v>482</v>
      </c>
      <c r="G9" s="40">
        <v>20460</v>
      </c>
    </row>
    <row r="10" spans="1:7" x14ac:dyDescent="0.35">
      <c r="A10" s="100" t="s">
        <v>157</v>
      </c>
      <c r="B10" s="29">
        <v>93307</v>
      </c>
      <c r="C10" s="29">
        <v>3943</v>
      </c>
      <c r="D10" s="29">
        <v>97250</v>
      </c>
      <c r="E10" s="29">
        <v>75514</v>
      </c>
      <c r="F10" s="29">
        <v>368</v>
      </c>
      <c r="G10" s="40">
        <v>138885</v>
      </c>
    </row>
    <row r="11" spans="1:7" x14ac:dyDescent="0.35">
      <c r="A11" s="39" t="s">
        <v>158</v>
      </c>
      <c r="B11" s="29">
        <v>866</v>
      </c>
      <c r="C11" s="29">
        <v>10</v>
      </c>
      <c r="D11" s="29">
        <v>876</v>
      </c>
      <c r="E11" s="29">
        <v>0</v>
      </c>
      <c r="F11" s="29">
        <v>1</v>
      </c>
      <c r="G11" s="40">
        <v>101865</v>
      </c>
    </row>
    <row r="12" spans="1:7" x14ac:dyDescent="0.35">
      <c r="A12" s="39" t="s">
        <v>159</v>
      </c>
      <c r="B12" s="29">
        <v>92441</v>
      </c>
      <c r="C12" s="29">
        <v>3933</v>
      </c>
      <c r="D12" s="29">
        <v>96374</v>
      </c>
      <c r="E12" s="29">
        <v>75514</v>
      </c>
      <c r="F12" s="29">
        <v>367</v>
      </c>
      <c r="G12" s="40">
        <v>37020</v>
      </c>
    </row>
    <row r="13" spans="1:7" x14ac:dyDescent="0.35">
      <c r="A13" s="100" t="s">
        <v>163</v>
      </c>
      <c r="B13" s="29">
        <v>68407</v>
      </c>
      <c r="C13" s="29">
        <v>3891</v>
      </c>
      <c r="D13" s="29">
        <v>72298</v>
      </c>
      <c r="E13" s="29">
        <v>76481</v>
      </c>
      <c r="F13" s="29">
        <v>511</v>
      </c>
      <c r="G13" s="40">
        <v>130298</v>
      </c>
    </row>
    <row r="14" spans="1:7" x14ac:dyDescent="0.35">
      <c r="A14" s="39" t="s">
        <v>164</v>
      </c>
      <c r="B14" s="29">
        <v>580</v>
      </c>
      <c r="C14" s="29">
        <v>2</v>
      </c>
      <c r="D14" s="29">
        <v>582</v>
      </c>
      <c r="E14" s="29">
        <v>0</v>
      </c>
      <c r="F14" s="29">
        <v>0</v>
      </c>
      <c r="G14" s="40">
        <v>102445</v>
      </c>
    </row>
    <row r="15" spans="1:7" x14ac:dyDescent="0.35">
      <c r="A15" s="39" t="s">
        <v>165</v>
      </c>
      <c r="B15" s="29">
        <v>67827</v>
      </c>
      <c r="C15" s="29">
        <v>3889</v>
      </c>
      <c r="D15" s="29">
        <v>71716</v>
      </c>
      <c r="E15" s="29">
        <v>76481</v>
      </c>
      <c r="F15" s="29">
        <v>511</v>
      </c>
      <c r="G15" s="40">
        <v>27853</v>
      </c>
    </row>
    <row r="16" spans="1:7" x14ac:dyDescent="0.35">
      <c r="A16" s="122" t="s">
        <v>176</v>
      </c>
      <c r="B16" s="30">
        <v>64795</v>
      </c>
      <c r="C16" s="30">
        <v>2615</v>
      </c>
      <c r="D16" s="30">
        <v>67411</v>
      </c>
      <c r="E16" s="30">
        <v>64279</v>
      </c>
      <c r="F16" s="30">
        <v>749</v>
      </c>
      <c r="G16" s="50">
        <v>130064</v>
      </c>
    </row>
    <row r="17" spans="1:7" x14ac:dyDescent="0.35">
      <c r="A17" s="121" t="s">
        <v>177</v>
      </c>
      <c r="B17" s="30">
        <v>296</v>
      </c>
      <c r="C17" s="30">
        <v>0</v>
      </c>
      <c r="D17" s="30">
        <v>296</v>
      </c>
      <c r="E17" s="30">
        <v>1</v>
      </c>
      <c r="F17" s="30">
        <v>2</v>
      </c>
      <c r="G17" s="50">
        <v>102738</v>
      </c>
    </row>
    <row r="18" spans="1:7" x14ac:dyDescent="0.35">
      <c r="A18" s="121" t="s">
        <v>178</v>
      </c>
      <c r="B18" s="30">
        <v>64499</v>
      </c>
      <c r="C18" s="30">
        <v>2615</v>
      </c>
      <c r="D18" s="30">
        <v>67115</v>
      </c>
      <c r="E18" s="30">
        <v>64278</v>
      </c>
      <c r="F18" s="30">
        <v>747</v>
      </c>
      <c r="G18" s="50">
        <v>27326</v>
      </c>
    </row>
    <row r="19" spans="1:7" ht="15" thickBot="1" x14ac:dyDescent="0.4">
      <c r="A19" s="101" t="s">
        <v>105</v>
      </c>
      <c r="B19" s="102">
        <v>298650</v>
      </c>
      <c r="C19" s="102">
        <v>14108</v>
      </c>
      <c r="D19" s="102">
        <v>312759</v>
      </c>
      <c r="E19" s="102">
        <v>285637</v>
      </c>
      <c r="F19" s="102">
        <v>2110</v>
      </c>
      <c r="G19" s="103">
        <v>130064</v>
      </c>
    </row>
    <row r="20" spans="1:7" ht="28" customHeight="1" x14ac:dyDescent="0.35">
      <c r="A20" s="104" t="s">
        <v>89</v>
      </c>
      <c r="B20" s="25"/>
      <c r="C20" s="25"/>
      <c r="D20" s="25"/>
      <c r="E20" s="25"/>
      <c r="F20" s="25"/>
      <c r="G20" s="25"/>
    </row>
    <row r="21" spans="1:7" x14ac:dyDescent="0.35">
      <c r="A21" s="105" t="s">
        <v>90</v>
      </c>
      <c r="B21" s="8"/>
      <c r="C21" s="8"/>
      <c r="D21" s="10"/>
      <c r="E21" s="11"/>
      <c r="F21" s="10"/>
      <c r="G21" s="10"/>
    </row>
    <row r="22" spans="1:7" x14ac:dyDescent="0.35">
      <c r="A22" s="106" t="s">
        <v>91</v>
      </c>
      <c r="B22" s="8"/>
      <c r="C22" s="8"/>
      <c r="D22" s="10"/>
      <c r="E22" s="11"/>
      <c r="F22" s="10"/>
      <c r="G22" s="10"/>
    </row>
    <row r="23" spans="1:7" x14ac:dyDescent="0.35">
      <c r="A23" s="107" t="s">
        <v>166</v>
      </c>
      <c r="B23" s="8"/>
      <c r="C23" s="8"/>
      <c r="D23" s="10"/>
      <c r="E23" s="10"/>
      <c r="F23" s="10"/>
      <c r="G23" s="10"/>
    </row>
    <row r="24" spans="1:7" x14ac:dyDescent="0.35">
      <c r="A24" s="107" t="s">
        <v>167</v>
      </c>
      <c r="B24" s="8"/>
      <c r="C24" s="8"/>
      <c r="D24" s="10"/>
      <c r="E24" s="10"/>
      <c r="F24" s="9"/>
      <c r="G24" s="9"/>
    </row>
    <row r="25" spans="1:7" x14ac:dyDescent="0.35">
      <c r="A25" s="107" t="s">
        <v>168</v>
      </c>
      <c r="B25" s="8"/>
      <c r="C25" s="8"/>
      <c r="D25" s="10"/>
      <c r="E25" s="11"/>
      <c r="F25" s="11"/>
      <c r="G25" s="11"/>
    </row>
    <row r="26" spans="1:7" x14ac:dyDescent="0.35">
      <c r="A26" s="108" t="s">
        <v>169</v>
      </c>
      <c r="B26" s="11"/>
      <c r="C26" s="11"/>
      <c r="D26" s="11"/>
      <c r="E26" s="11"/>
      <c r="F26" s="11"/>
      <c r="G26" s="11"/>
    </row>
    <row r="27" spans="1:7" x14ac:dyDescent="0.35">
      <c r="A27" s="108" t="s">
        <v>170</v>
      </c>
      <c r="B27" s="11"/>
      <c r="C27" s="11"/>
      <c r="D27" s="11"/>
      <c r="E27" s="11"/>
      <c r="F27" s="11"/>
      <c r="G27" s="11"/>
    </row>
    <row r="28" spans="1:7" x14ac:dyDescent="0.35">
      <c r="A28" s="109" t="s">
        <v>171</v>
      </c>
      <c r="B28" s="11"/>
      <c r="C28" s="11"/>
      <c r="D28" s="11"/>
      <c r="E28" s="11"/>
      <c r="F28" s="11"/>
      <c r="G28" s="11"/>
    </row>
    <row r="29" spans="1:7" x14ac:dyDescent="0.35">
      <c r="A29" s="109" t="s">
        <v>113</v>
      </c>
      <c r="B29" s="11"/>
      <c r="C29" s="11"/>
      <c r="D29" s="11"/>
      <c r="E29" s="11"/>
      <c r="F29" s="11"/>
      <c r="G29" s="11"/>
    </row>
    <row r="30" spans="1:7" x14ac:dyDescent="0.35">
      <c r="A30" s="110" t="s">
        <v>92</v>
      </c>
      <c r="B30" s="11"/>
      <c r="C30" s="11"/>
      <c r="D30" s="11"/>
      <c r="E30" s="11"/>
      <c r="F30" s="11"/>
      <c r="G30" s="11"/>
    </row>
    <row r="31" spans="1:7" x14ac:dyDescent="0.35">
      <c r="A31" s="111" t="s">
        <v>93</v>
      </c>
      <c r="B31" s="11"/>
      <c r="C31" s="11"/>
      <c r="D31" s="11"/>
      <c r="E31" s="11"/>
      <c r="F31" s="11"/>
      <c r="G31" s="11"/>
    </row>
    <row r="32" spans="1:7" x14ac:dyDescent="0.35">
      <c r="A32" s="112" t="s">
        <v>94</v>
      </c>
      <c r="B32" s="11"/>
      <c r="C32" s="11"/>
      <c r="D32" s="11"/>
      <c r="E32" s="11"/>
      <c r="F32" s="11"/>
      <c r="G32" s="11"/>
    </row>
    <row r="33" spans="1:7" x14ac:dyDescent="0.35">
      <c r="A33" s="113" t="s">
        <v>95</v>
      </c>
      <c r="B33" s="13"/>
      <c r="C33" s="13"/>
      <c r="D33" s="13"/>
      <c r="E33" s="13"/>
      <c r="F33" s="13"/>
      <c r="G33" s="13"/>
    </row>
    <row r="34" spans="1:7" x14ac:dyDescent="0.35">
      <c r="A34" s="114" t="s">
        <v>96</v>
      </c>
      <c r="B34" s="32"/>
      <c r="C34" s="32"/>
      <c r="D34" s="32"/>
      <c r="E34" s="32"/>
      <c r="F34" s="32"/>
      <c r="G34" s="32"/>
    </row>
    <row r="35" spans="1:7" x14ac:dyDescent="0.35">
      <c r="A35" s="110" t="s">
        <v>97</v>
      </c>
      <c r="B35" s="13"/>
      <c r="C35" s="13"/>
      <c r="D35" s="13"/>
      <c r="E35" s="13"/>
      <c r="F35" s="13"/>
      <c r="G35" s="13"/>
    </row>
    <row r="36" spans="1:7" x14ac:dyDescent="0.35">
      <c r="A36" s="111" t="s">
        <v>98</v>
      </c>
      <c r="B36" s="11"/>
      <c r="C36" s="11"/>
      <c r="D36" s="11"/>
      <c r="E36" s="11"/>
      <c r="F36" s="11"/>
      <c r="G36" s="11"/>
    </row>
    <row r="37" spans="1:7" x14ac:dyDescent="0.35">
      <c r="A37" s="111" t="s">
        <v>180</v>
      </c>
      <c r="B37" s="11"/>
      <c r="C37" s="11"/>
      <c r="D37" s="11"/>
      <c r="E37" s="11"/>
      <c r="F37" s="11"/>
      <c r="G37" s="11"/>
    </row>
  </sheetData>
  <pageMargins left="0.7" right="0.7" top="0.75" bottom="0.75" header="0.3" footer="0.3"/>
  <pageSetup scale="46" fitToHeight="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FAC0F-FB27-43AB-AA6B-4AD0CEC71A5C}">
  <sheetPr>
    <tabColor rgb="FF003366"/>
    <pageSetUpPr fitToPage="1"/>
  </sheetPr>
  <dimension ref="A1:G47"/>
  <sheetViews>
    <sheetView showGridLines="0" workbookViewId="0"/>
  </sheetViews>
  <sheetFormatPr defaultRowHeight="14.5" x14ac:dyDescent="0.35"/>
  <cols>
    <col min="1" max="1" width="45.54296875" customWidth="1"/>
    <col min="2" max="7" width="13.81640625" customWidth="1"/>
  </cols>
  <sheetData>
    <row r="1" spans="1:7" ht="20.149999999999999" customHeight="1" x14ac:dyDescent="0.35">
      <c r="A1" s="33" t="s">
        <v>116</v>
      </c>
      <c r="B1" s="3"/>
      <c r="C1" s="3"/>
      <c r="D1" s="3"/>
      <c r="E1" s="3"/>
      <c r="F1" s="3"/>
      <c r="G1" s="34"/>
    </row>
    <row r="2" spans="1:7" ht="20.149999999999999" customHeight="1" x14ac:dyDescent="0.35">
      <c r="A2" s="72" t="s">
        <v>99</v>
      </c>
      <c r="B2" s="3"/>
      <c r="C2" s="3"/>
      <c r="D2" s="3"/>
      <c r="E2" s="3"/>
      <c r="F2" s="3"/>
      <c r="G2" s="34"/>
    </row>
    <row r="3" spans="1:7" ht="20.149999999999999" customHeight="1" x14ac:dyDescent="0.35">
      <c r="A3" s="73" t="s">
        <v>179</v>
      </c>
      <c r="B3" s="3"/>
      <c r="C3" s="3"/>
      <c r="D3" s="3"/>
      <c r="E3" s="3"/>
      <c r="F3" s="3"/>
      <c r="G3" s="34"/>
    </row>
    <row r="4" spans="1:7" ht="15" x14ac:dyDescent="0.35">
      <c r="A4" s="84"/>
      <c r="B4" s="80" t="s">
        <v>100</v>
      </c>
      <c r="C4" s="81"/>
      <c r="D4" s="82"/>
      <c r="E4" s="80" t="s">
        <v>101</v>
      </c>
      <c r="F4" s="81"/>
      <c r="G4" s="83"/>
    </row>
    <row r="5" spans="1:7" x14ac:dyDescent="0.35">
      <c r="A5" s="75" t="s">
        <v>102</v>
      </c>
      <c r="B5" s="54" t="s">
        <v>103</v>
      </c>
      <c r="C5" s="55" t="s">
        <v>104</v>
      </c>
      <c r="D5" s="55" t="s">
        <v>105</v>
      </c>
      <c r="E5" s="64" t="s">
        <v>103</v>
      </c>
      <c r="F5" s="55" t="s">
        <v>104</v>
      </c>
      <c r="G5" s="56" t="s">
        <v>105</v>
      </c>
    </row>
    <row r="6" spans="1:7" x14ac:dyDescent="0.35">
      <c r="A6" s="37" t="s">
        <v>106</v>
      </c>
      <c r="B6" s="5"/>
      <c r="C6" s="6"/>
      <c r="D6" s="7"/>
      <c r="E6" s="6"/>
      <c r="F6" s="6"/>
      <c r="G6" s="38"/>
    </row>
    <row r="7" spans="1:7" x14ac:dyDescent="0.35">
      <c r="A7" s="44" t="s">
        <v>2</v>
      </c>
      <c r="B7" s="14">
        <v>802290</v>
      </c>
      <c r="C7" s="14">
        <v>2846812</v>
      </c>
      <c r="D7" s="15">
        <v>3649102</v>
      </c>
      <c r="E7" s="16">
        <v>658179</v>
      </c>
      <c r="F7" s="14">
        <v>2800309</v>
      </c>
      <c r="G7" s="60">
        <v>3458488</v>
      </c>
    </row>
    <row r="8" spans="1:7" x14ac:dyDescent="0.35">
      <c r="A8" s="44" t="s">
        <v>3</v>
      </c>
      <c r="B8" s="14">
        <v>38417</v>
      </c>
      <c r="C8" s="14">
        <v>137793</v>
      </c>
      <c r="D8" s="15">
        <v>176210</v>
      </c>
      <c r="E8" s="16">
        <v>30007</v>
      </c>
      <c r="F8" s="14">
        <v>135104</v>
      </c>
      <c r="G8" s="60">
        <v>165111</v>
      </c>
    </row>
    <row r="9" spans="1:7" x14ac:dyDescent="0.35">
      <c r="A9" s="43" t="s">
        <v>4</v>
      </c>
      <c r="B9" s="17">
        <v>28110</v>
      </c>
      <c r="C9" s="17">
        <v>92275</v>
      </c>
      <c r="D9" s="18">
        <v>120385</v>
      </c>
      <c r="E9" s="16">
        <v>21219</v>
      </c>
      <c r="F9" s="14">
        <v>90474</v>
      </c>
      <c r="G9" s="60">
        <v>111693</v>
      </c>
    </row>
    <row r="10" spans="1:7" x14ac:dyDescent="0.35">
      <c r="A10" s="43" t="s">
        <v>5</v>
      </c>
      <c r="B10" s="17">
        <v>25474</v>
      </c>
      <c r="C10" s="17">
        <v>85230</v>
      </c>
      <c r="D10" s="18">
        <v>110704</v>
      </c>
      <c r="E10" s="16">
        <v>19333</v>
      </c>
      <c r="F10" s="14">
        <v>83439</v>
      </c>
      <c r="G10" s="60">
        <v>102772</v>
      </c>
    </row>
    <row r="11" spans="1:7" x14ac:dyDescent="0.35">
      <c r="A11" s="44" t="s">
        <v>160</v>
      </c>
      <c r="B11" s="14">
        <v>10064</v>
      </c>
      <c r="C11" s="14">
        <v>37566</v>
      </c>
      <c r="D11" s="15">
        <v>47630</v>
      </c>
      <c r="E11" s="16">
        <v>9052</v>
      </c>
      <c r="F11" s="14">
        <v>37094</v>
      </c>
      <c r="G11" s="60">
        <v>46146</v>
      </c>
    </row>
    <row r="12" spans="1:7" x14ac:dyDescent="0.35">
      <c r="A12" s="44" t="s">
        <v>6</v>
      </c>
      <c r="B12" s="14">
        <v>10271</v>
      </c>
      <c r="C12" s="14">
        <v>36850</v>
      </c>
      <c r="D12" s="15">
        <v>47121</v>
      </c>
      <c r="E12" s="16">
        <v>9355</v>
      </c>
      <c r="F12" s="14">
        <v>36329</v>
      </c>
      <c r="G12" s="60">
        <v>45684</v>
      </c>
    </row>
    <row r="13" spans="1:7" x14ac:dyDescent="0.35">
      <c r="A13" s="44" t="s">
        <v>7</v>
      </c>
      <c r="B13" s="14">
        <v>9286</v>
      </c>
      <c r="C13" s="14">
        <v>28732</v>
      </c>
      <c r="D13" s="15">
        <v>38018</v>
      </c>
      <c r="E13" s="16">
        <v>7719</v>
      </c>
      <c r="F13" s="14">
        <v>28365</v>
      </c>
      <c r="G13" s="60">
        <v>36084</v>
      </c>
    </row>
    <row r="14" spans="1:7" x14ac:dyDescent="0.35">
      <c r="A14" s="44" t="s">
        <v>8</v>
      </c>
      <c r="B14" s="14">
        <v>8259</v>
      </c>
      <c r="C14" s="14">
        <v>27049</v>
      </c>
      <c r="D14" s="15">
        <v>35308</v>
      </c>
      <c r="E14" s="16">
        <v>6916</v>
      </c>
      <c r="F14" s="14">
        <v>26522</v>
      </c>
      <c r="G14" s="60">
        <v>33438</v>
      </c>
    </row>
    <row r="15" spans="1:7" x14ac:dyDescent="0.35">
      <c r="A15" s="44" t="s">
        <v>9</v>
      </c>
      <c r="B15" s="14">
        <v>7633</v>
      </c>
      <c r="C15" s="14">
        <v>24775</v>
      </c>
      <c r="D15" s="15">
        <v>32408</v>
      </c>
      <c r="E15" s="16">
        <v>6780</v>
      </c>
      <c r="F15" s="14">
        <v>24431</v>
      </c>
      <c r="G15" s="60">
        <v>31211</v>
      </c>
    </row>
    <row r="16" spans="1:7" x14ac:dyDescent="0.35">
      <c r="A16" s="44" t="s">
        <v>10</v>
      </c>
      <c r="B16" s="14">
        <v>5459</v>
      </c>
      <c r="C16" s="14">
        <v>19209</v>
      </c>
      <c r="D16" s="15">
        <v>24668</v>
      </c>
      <c r="E16" s="16">
        <v>4837</v>
      </c>
      <c r="F16" s="14">
        <v>19070</v>
      </c>
      <c r="G16" s="60">
        <v>23907</v>
      </c>
    </row>
    <row r="17" spans="1:7" x14ac:dyDescent="0.35">
      <c r="A17" s="44" t="s">
        <v>11</v>
      </c>
      <c r="B17" s="14">
        <v>5528</v>
      </c>
      <c r="C17" s="14">
        <v>18823</v>
      </c>
      <c r="D17" s="15">
        <v>24351</v>
      </c>
      <c r="E17" s="16">
        <v>4977</v>
      </c>
      <c r="F17" s="14">
        <v>18602</v>
      </c>
      <c r="G17" s="60">
        <v>23579</v>
      </c>
    </row>
    <row r="18" spans="1:7" x14ac:dyDescent="0.35">
      <c r="A18" s="44" t="s">
        <v>13</v>
      </c>
      <c r="B18" s="14">
        <v>4838</v>
      </c>
      <c r="C18" s="14">
        <v>12558</v>
      </c>
      <c r="D18" s="15">
        <v>17396</v>
      </c>
      <c r="E18" s="16">
        <v>3583</v>
      </c>
      <c r="F18" s="14">
        <v>12351</v>
      </c>
      <c r="G18" s="60">
        <v>15934</v>
      </c>
    </row>
    <row r="19" spans="1:7" x14ac:dyDescent="0.35">
      <c r="A19" s="44" t="s">
        <v>12</v>
      </c>
      <c r="B19" s="14">
        <v>3977</v>
      </c>
      <c r="C19" s="14">
        <v>13199</v>
      </c>
      <c r="D19" s="15">
        <v>17176</v>
      </c>
      <c r="E19" s="16">
        <v>3289</v>
      </c>
      <c r="F19" s="14">
        <v>12966</v>
      </c>
      <c r="G19" s="60">
        <v>16255</v>
      </c>
    </row>
    <row r="20" spans="1:7" x14ac:dyDescent="0.35">
      <c r="A20" s="44" t="s">
        <v>14</v>
      </c>
      <c r="B20" s="14">
        <v>3697</v>
      </c>
      <c r="C20" s="14">
        <v>12141</v>
      </c>
      <c r="D20" s="15">
        <v>15838</v>
      </c>
      <c r="E20" s="16">
        <v>3214</v>
      </c>
      <c r="F20" s="14">
        <v>11969</v>
      </c>
      <c r="G20" s="60">
        <v>15183</v>
      </c>
    </row>
    <row r="21" spans="1:7" x14ac:dyDescent="0.35">
      <c r="A21" s="44" t="s">
        <v>15</v>
      </c>
      <c r="B21" s="14">
        <v>4242</v>
      </c>
      <c r="C21" s="14">
        <v>10820</v>
      </c>
      <c r="D21" s="15">
        <v>15062</v>
      </c>
      <c r="E21" s="16">
        <v>3307</v>
      </c>
      <c r="F21" s="14">
        <v>10661</v>
      </c>
      <c r="G21" s="60">
        <v>13968</v>
      </c>
    </row>
    <row r="22" spans="1:7" x14ac:dyDescent="0.35">
      <c r="A22" s="44" t="s">
        <v>16</v>
      </c>
      <c r="B22" s="14">
        <v>2852</v>
      </c>
      <c r="C22" s="14">
        <v>9264</v>
      </c>
      <c r="D22" s="15">
        <v>12116</v>
      </c>
      <c r="E22" s="16">
        <v>2514</v>
      </c>
      <c r="F22" s="14">
        <v>9133</v>
      </c>
      <c r="G22" s="60">
        <v>11647</v>
      </c>
    </row>
    <row r="23" spans="1:7" x14ac:dyDescent="0.35">
      <c r="A23" s="44" t="s">
        <v>161</v>
      </c>
      <c r="B23" s="14">
        <v>3316</v>
      </c>
      <c r="C23" s="14">
        <v>8780</v>
      </c>
      <c r="D23" s="15">
        <v>12096</v>
      </c>
      <c r="E23" s="16">
        <v>2662</v>
      </c>
      <c r="F23" s="14">
        <v>8659</v>
      </c>
      <c r="G23" s="60">
        <v>11321</v>
      </c>
    </row>
    <row r="24" spans="1:7" x14ac:dyDescent="0.35">
      <c r="A24" s="44" t="s">
        <v>17</v>
      </c>
      <c r="B24" s="14">
        <v>2356</v>
      </c>
      <c r="C24" s="14">
        <v>8316</v>
      </c>
      <c r="D24" s="15">
        <v>10672</v>
      </c>
      <c r="E24" s="16">
        <v>2133</v>
      </c>
      <c r="F24" s="14">
        <v>8190</v>
      </c>
      <c r="G24" s="60">
        <v>10323</v>
      </c>
    </row>
    <row r="25" spans="1:7" x14ac:dyDescent="0.35">
      <c r="A25" s="44" t="s">
        <v>18</v>
      </c>
      <c r="B25" s="14">
        <v>2443</v>
      </c>
      <c r="C25" s="14">
        <v>7790</v>
      </c>
      <c r="D25" s="15">
        <v>10233</v>
      </c>
      <c r="E25" s="16">
        <v>2113</v>
      </c>
      <c r="F25" s="14">
        <v>7680</v>
      </c>
      <c r="G25" s="60">
        <v>9793</v>
      </c>
    </row>
    <row r="26" spans="1:7" x14ac:dyDescent="0.35">
      <c r="A26" s="44" t="s">
        <v>22</v>
      </c>
      <c r="B26" s="14">
        <v>2141</v>
      </c>
      <c r="C26" s="14">
        <v>6977</v>
      </c>
      <c r="D26" s="15">
        <v>9118</v>
      </c>
      <c r="E26" s="16">
        <v>1692</v>
      </c>
      <c r="F26" s="14">
        <v>6862</v>
      </c>
      <c r="G26" s="60">
        <v>8554</v>
      </c>
    </row>
    <row r="27" spans="1:7" x14ac:dyDescent="0.35">
      <c r="A27" s="44" t="s">
        <v>19</v>
      </c>
      <c r="B27" s="14">
        <v>2026</v>
      </c>
      <c r="C27" s="14">
        <v>6910</v>
      </c>
      <c r="D27" s="15">
        <v>8936</v>
      </c>
      <c r="E27" s="16">
        <v>1803</v>
      </c>
      <c r="F27" s="14">
        <v>6813</v>
      </c>
      <c r="G27" s="60">
        <v>8616</v>
      </c>
    </row>
    <row r="28" spans="1:7" x14ac:dyDescent="0.35">
      <c r="A28" s="44" t="s">
        <v>20</v>
      </c>
      <c r="B28" s="14">
        <v>2174</v>
      </c>
      <c r="C28" s="14">
        <v>6553</v>
      </c>
      <c r="D28" s="15">
        <v>8727</v>
      </c>
      <c r="E28" s="16">
        <v>1890</v>
      </c>
      <c r="F28" s="14">
        <v>6463</v>
      </c>
      <c r="G28" s="60">
        <v>8353</v>
      </c>
    </row>
    <row r="29" spans="1:7" x14ac:dyDescent="0.35">
      <c r="A29" s="44" t="s">
        <v>21</v>
      </c>
      <c r="B29" s="14">
        <v>2056</v>
      </c>
      <c r="C29" s="14">
        <v>6593</v>
      </c>
      <c r="D29" s="15">
        <v>8649</v>
      </c>
      <c r="E29" s="16">
        <v>1747</v>
      </c>
      <c r="F29" s="14">
        <v>6499</v>
      </c>
      <c r="G29" s="60">
        <v>8246</v>
      </c>
    </row>
    <row r="30" spans="1:7" x14ac:dyDescent="0.35">
      <c r="A30" s="44" t="s">
        <v>162</v>
      </c>
      <c r="B30" s="14">
        <v>1743</v>
      </c>
      <c r="C30" s="14">
        <v>5184</v>
      </c>
      <c r="D30" s="15">
        <v>6927</v>
      </c>
      <c r="E30" s="16">
        <v>1348</v>
      </c>
      <c r="F30" s="14">
        <v>5061</v>
      </c>
      <c r="G30" s="61">
        <v>6409</v>
      </c>
    </row>
    <row r="31" spans="1:7" x14ac:dyDescent="0.35">
      <c r="A31" s="44" t="s">
        <v>23</v>
      </c>
      <c r="B31" s="14">
        <v>1585</v>
      </c>
      <c r="C31" s="14">
        <v>4814</v>
      </c>
      <c r="D31" s="15">
        <v>6399</v>
      </c>
      <c r="E31" s="16">
        <v>1317</v>
      </c>
      <c r="F31" s="14">
        <v>4739</v>
      </c>
      <c r="G31" s="61">
        <v>6056</v>
      </c>
    </row>
    <row r="32" spans="1:7" x14ac:dyDescent="0.35">
      <c r="A32" s="44" t="s">
        <v>24</v>
      </c>
      <c r="B32" s="19">
        <v>32287</v>
      </c>
      <c r="C32" s="19">
        <v>85675</v>
      </c>
      <c r="D32" s="20">
        <v>117962</v>
      </c>
      <c r="E32" s="21">
        <v>24107</v>
      </c>
      <c r="F32" s="19">
        <v>84111</v>
      </c>
      <c r="G32" s="61">
        <v>108218</v>
      </c>
    </row>
    <row r="33" spans="1:7" ht="15" thickBot="1" x14ac:dyDescent="0.4">
      <c r="A33" s="62" t="s">
        <v>123</v>
      </c>
      <c r="B33" s="51">
        <v>1022524</v>
      </c>
      <c r="C33" s="51">
        <v>3560688</v>
      </c>
      <c r="D33" s="51">
        <v>4583212</v>
      </c>
      <c r="E33" s="63">
        <v>835093</v>
      </c>
      <c r="F33" s="51">
        <v>3501896</v>
      </c>
      <c r="G33" s="52">
        <v>4336989</v>
      </c>
    </row>
    <row r="34" spans="1:7" ht="28" customHeight="1" x14ac:dyDescent="0.35">
      <c r="A34" s="104" t="s">
        <v>89</v>
      </c>
      <c r="B34" s="26"/>
      <c r="C34" s="26"/>
      <c r="D34" s="26"/>
      <c r="E34" s="26"/>
      <c r="F34" s="26"/>
      <c r="G34" s="26"/>
    </row>
    <row r="35" spans="1:7" x14ac:dyDescent="0.35">
      <c r="A35" s="105" t="s">
        <v>107</v>
      </c>
      <c r="B35" s="8"/>
      <c r="C35" s="8"/>
      <c r="D35" s="11"/>
      <c r="E35" s="10"/>
      <c r="F35" s="10"/>
      <c r="G35" s="11"/>
    </row>
    <row r="36" spans="1:7" x14ac:dyDescent="0.35">
      <c r="A36" s="106" t="s">
        <v>91</v>
      </c>
      <c r="B36" s="8"/>
      <c r="C36" s="8"/>
      <c r="D36" s="11"/>
      <c r="E36" s="10"/>
      <c r="F36" s="10"/>
      <c r="G36" s="11"/>
    </row>
    <row r="37" spans="1:7" x14ac:dyDescent="0.35">
      <c r="A37" s="112" t="s">
        <v>172</v>
      </c>
      <c r="B37" s="8"/>
      <c r="C37" s="8"/>
      <c r="D37" s="10"/>
      <c r="E37" s="10"/>
      <c r="F37" s="10"/>
      <c r="G37" s="10"/>
    </row>
    <row r="38" spans="1:7" x14ac:dyDescent="0.35">
      <c r="A38" s="112" t="s">
        <v>173</v>
      </c>
      <c r="B38" s="8"/>
      <c r="C38" s="8"/>
      <c r="D38" s="10"/>
      <c r="E38" s="10"/>
      <c r="F38" s="10"/>
      <c r="G38" s="10"/>
    </row>
    <row r="39" spans="1:7" ht="13.5" customHeight="1" x14ac:dyDescent="0.35">
      <c r="A39" s="112" t="s">
        <v>174</v>
      </c>
      <c r="B39" s="22"/>
      <c r="C39" s="22"/>
      <c r="D39" s="22"/>
      <c r="E39" s="22"/>
      <c r="F39" s="22"/>
      <c r="G39" s="22"/>
    </row>
    <row r="40" spans="1:7" x14ac:dyDescent="0.35">
      <c r="A40" s="110" t="s">
        <v>92</v>
      </c>
      <c r="B40" s="22"/>
      <c r="C40" s="22"/>
      <c r="D40" s="22"/>
      <c r="E40" s="22"/>
      <c r="F40" s="22"/>
      <c r="G40" s="22"/>
    </row>
    <row r="41" spans="1:7" x14ac:dyDescent="0.35">
      <c r="A41" s="111" t="s">
        <v>108</v>
      </c>
      <c r="B41" s="11"/>
      <c r="C41" s="11"/>
      <c r="D41" s="11"/>
      <c r="E41" s="11"/>
      <c r="F41" s="11"/>
      <c r="G41" s="11"/>
    </row>
    <row r="42" spans="1:7" x14ac:dyDescent="0.35">
      <c r="A42" s="112" t="s">
        <v>109</v>
      </c>
      <c r="B42" s="11"/>
      <c r="C42" s="11"/>
      <c r="D42" s="11"/>
      <c r="E42" s="11"/>
      <c r="F42" s="11"/>
      <c r="G42" s="11"/>
    </row>
    <row r="43" spans="1:7" x14ac:dyDescent="0.35">
      <c r="A43" s="112" t="s">
        <v>110</v>
      </c>
      <c r="B43" s="11"/>
      <c r="C43" s="11"/>
      <c r="D43" s="11"/>
      <c r="E43" s="11"/>
      <c r="F43" s="11"/>
      <c r="G43" s="11"/>
    </row>
    <row r="44" spans="1:7" x14ac:dyDescent="0.35">
      <c r="A44" s="114" t="s">
        <v>96</v>
      </c>
      <c r="B44" s="11"/>
      <c r="C44" s="11"/>
      <c r="D44" s="11"/>
      <c r="E44" s="11"/>
      <c r="F44" s="11"/>
      <c r="G44" s="11"/>
    </row>
    <row r="45" spans="1:7" x14ac:dyDescent="0.35">
      <c r="A45" s="110" t="s">
        <v>97</v>
      </c>
      <c r="B45" s="11"/>
      <c r="C45" s="11"/>
      <c r="D45" s="11"/>
      <c r="E45" s="11"/>
      <c r="F45" s="11"/>
      <c r="G45" s="11"/>
    </row>
    <row r="46" spans="1:7" x14ac:dyDescent="0.35">
      <c r="A46" s="114" t="s">
        <v>98</v>
      </c>
      <c r="B46" s="23"/>
      <c r="C46" s="23"/>
      <c r="D46" s="23"/>
      <c r="E46" s="23"/>
      <c r="F46" s="24"/>
      <c r="G46" s="24"/>
    </row>
    <row r="47" spans="1:7" x14ac:dyDescent="0.35">
      <c r="A47" s="111" t="s">
        <v>180</v>
      </c>
      <c r="B47" s="23"/>
      <c r="C47" s="23"/>
      <c r="D47" s="23"/>
      <c r="E47" s="23"/>
      <c r="F47" s="24"/>
      <c r="G47" s="24"/>
    </row>
  </sheetData>
  <pageMargins left="0.25" right="0.25" top="0.75" bottom="0.75" header="0.3" footer="0.3"/>
  <pageSetup scale="7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64224-BBD1-4DED-871F-3ABC3196061C}">
  <sheetPr>
    <tabColor rgb="FF003366"/>
    <pageSetUpPr fitToPage="1"/>
  </sheetPr>
  <dimension ref="A1:H83"/>
  <sheetViews>
    <sheetView showGridLines="0" workbookViewId="0"/>
  </sheetViews>
  <sheetFormatPr defaultRowHeight="14.5" x14ac:dyDescent="0.35"/>
  <cols>
    <col min="1" max="1" width="49.54296875" style="69" customWidth="1"/>
    <col min="2" max="7" width="13.81640625" customWidth="1"/>
  </cols>
  <sheetData>
    <row r="1" spans="1:8" ht="20.149999999999999" customHeight="1" x14ac:dyDescent="0.35">
      <c r="A1" s="65" t="s">
        <v>116</v>
      </c>
      <c r="B1" s="3"/>
      <c r="C1" s="3"/>
      <c r="D1" s="3"/>
      <c r="E1" s="3"/>
      <c r="F1" s="3"/>
      <c r="G1" s="34"/>
    </row>
    <row r="2" spans="1:8" ht="20.149999999999999" customHeight="1" x14ac:dyDescent="0.35">
      <c r="A2" s="74" t="s">
        <v>111</v>
      </c>
      <c r="B2" s="3"/>
      <c r="C2" s="3"/>
      <c r="D2" s="3"/>
      <c r="E2" s="3"/>
      <c r="F2" s="3"/>
      <c r="G2" s="34"/>
    </row>
    <row r="3" spans="1:8" ht="20.149999999999999" customHeight="1" x14ac:dyDescent="0.35">
      <c r="A3" s="73" t="s">
        <v>179</v>
      </c>
      <c r="B3" s="3"/>
      <c r="C3" s="3"/>
      <c r="D3" s="3"/>
      <c r="E3" s="3"/>
      <c r="F3" s="3"/>
      <c r="G3" s="34"/>
    </row>
    <row r="4" spans="1:8" ht="15" x14ac:dyDescent="0.35">
      <c r="A4" s="89"/>
      <c r="B4" s="85" t="s">
        <v>100</v>
      </c>
      <c r="C4" s="86"/>
      <c r="D4" s="88"/>
      <c r="E4" s="85" t="s">
        <v>101</v>
      </c>
      <c r="F4" s="86"/>
      <c r="G4" s="87"/>
    </row>
    <row r="5" spans="1:8" x14ac:dyDescent="0.35">
      <c r="A5" s="76" t="s">
        <v>112</v>
      </c>
      <c r="B5" s="70" t="s">
        <v>103</v>
      </c>
      <c r="C5" s="70" t="s">
        <v>104</v>
      </c>
      <c r="D5" s="70" t="s">
        <v>105</v>
      </c>
      <c r="E5" s="70" t="s">
        <v>103</v>
      </c>
      <c r="F5" s="70" t="s">
        <v>104</v>
      </c>
      <c r="G5" s="71" t="s">
        <v>105</v>
      </c>
    </row>
    <row r="6" spans="1:8" x14ac:dyDescent="0.35">
      <c r="A6" s="66" t="s">
        <v>25</v>
      </c>
      <c r="B6" s="27">
        <v>289385</v>
      </c>
      <c r="C6" s="27">
        <v>1007229</v>
      </c>
      <c r="D6" s="27">
        <v>1296614</v>
      </c>
      <c r="E6" s="27">
        <v>241142</v>
      </c>
      <c r="F6" s="27">
        <v>992019</v>
      </c>
      <c r="G6" s="49">
        <v>1233161</v>
      </c>
      <c r="H6" s="123">
        <f>G6-E6-F6</f>
        <v>0</v>
      </c>
    </row>
    <row r="7" spans="1:8" x14ac:dyDescent="0.35">
      <c r="A7" s="67" t="s">
        <v>26</v>
      </c>
      <c r="B7" s="28">
        <v>171462</v>
      </c>
      <c r="C7" s="28">
        <v>587878</v>
      </c>
      <c r="D7" s="28">
        <v>759340</v>
      </c>
      <c r="E7" s="27">
        <v>135837</v>
      </c>
      <c r="F7" s="27">
        <v>578681</v>
      </c>
      <c r="G7" s="49">
        <v>714518</v>
      </c>
    </row>
    <row r="8" spans="1:8" x14ac:dyDescent="0.35">
      <c r="A8" s="67" t="s">
        <v>27</v>
      </c>
      <c r="B8" s="28">
        <v>53810</v>
      </c>
      <c r="C8" s="28">
        <v>187024</v>
      </c>
      <c r="D8" s="28">
        <v>240834</v>
      </c>
      <c r="E8" s="27">
        <v>45501</v>
      </c>
      <c r="F8" s="27">
        <v>184141</v>
      </c>
      <c r="G8" s="49">
        <v>229642</v>
      </c>
    </row>
    <row r="9" spans="1:8" x14ac:dyDescent="0.35">
      <c r="A9" s="66" t="s">
        <v>28</v>
      </c>
      <c r="B9" s="27">
        <v>50339</v>
      </c>
      <c r="C9" s="27">
        <v>150616</v>
      </c>
      <c r="D9" s="27">
        <v>200955</v>
      </c>
      <c r="E9" s="27">
        <v>40944</v>
      </c>
      <c r="F9" s="27">
        <v>148079</v>
      </c>
      <c r="G9" s="49">
        <v>189023</v>
      </c>
    </row>
    <row r="10" spans="1:8" x14ac:dyDescent="0.35">
      <c r="A10" s="66" t="s">
        <v>29</v>
      </c>
      <c r="B10" s="27">
        <v>42614</v>
      </c>
      <c r="C10" s="27">
        <v>139195</v>
      </c>
      <c r="D10" s="27">
        <v>181809</v>
      </c>
      <c r="E10" s="27">
        <v>32940</v>
      </c>
      <c r="F10" s="27">
        <v>136890</v>
      </c>
      <c r="G10" s="49">
        <v>169830</v>
      </c>
    </row>
    <row r="11" spans="1:8" x14ac:dyDescent="0.35">
      <c r="A11" s="66" t="s">
        <v>30</v>
      </c>
      <c r="B11" s="27">
        <v>37398</v>
      </c>
      <c r="C11" s="27">
        <v>134976</v>
      </c>
      <c r="D11" s="27">
        <v>172374</v>
      </c>
      <c r="E11" s="27">
        <v>30770</v>
      </c>
      <c r="F11" s="27">
        <v>132474</v>
      </c>
      <c r="G11" s="49">
        <v>163244</v>
      </c>
    </row>
    <row r="12" spans="1:8" x14ac:dyDescent="0.35">
      <c r="A12" s="66" t="s">
        <v>31</v>
      </c>
      <c r="B12" s="27">
        <v>35274</v>
      </c>
      <c r="C12" s="27">
        <v>134235</v>
      </c>
      <c r="D12" s="27">
        <v>169509</v>
      </c>
      <c r="E12" s="27">
        <v>29920</v>
      </c>
      <c r="F12" s="27">
        <v>132007</v>
      </c>
      <c r="G12" s="49">
        <v>161927</v>
      </c>
    </row>
    <row r="13" spans="1:8" x14ac:dyDescent="0.35">
      <c r="A13" s="66" t="s">
        <v>32</v>
      </c>
      <c r="B13" s="27">
        <v>33723</v>
      </c>
      <c r="C13" s="27">
        <v>115825</v>
      </c>
      <c r="D13" s="27">
        <v>149548</v>
      </c>
      <c r="E13" s="27">
        <v>26050</v>
      </c>
      <c r="F13" s="27">
        <v>113336</v>
      </c>
      <c r="G13" s="49">
        <v>139386</v>
      </c>
    </row>
    <row r="14" spans="1:8" x14ac:dyDescent="0.35">
      <c r="A14" s="66" t="s">
        <v>33</v>
      </c>
      <c r="B14" s="27">
        <v>27470</v>
      </c>
      <c r="C14" s="27">
        <v>90416</v>
      </c>
      <c r="D14" s="27">
        <v>117886</v>
      </c>
      <c r="E14" s="27">
        <v>22238</v>
      </c>
      <c r="F14" s="27">
        <v>88897</v>
      </c>
      <c r="G14" s="49">
        <v>111135</v>
      </c>
    </row>
    <row r="15" spans="1:8" x14ac:dyDescent="0.35">
      <c r="A15" s="66" t="s">
        <v>34</v>
      </c>
      <c r="B15" s="27">
        <v>24607</v>
      </c>
      <c r="C15" s="27">
        <v>87975</v>
      </c>
      <c r="D15" s="27">
        <v>112582</v>
      </c>
      <c r="E15" s="27">
        <v>19626</v>
      </c>
      <c r="F15" s="27">
        <v>86608</v>
      </c>
      <c r="G15" s="49">
        <v>106234</v>
      </c>
    </row>
    <row r="16" spans="1:8" x14ac:dyDescent="0.35">
      <c r="A16" s="66" t="s">
        <v>35</v>
      </c>
      <c r="B16" s="27">
        <v>22691</v>
      </c>
      <c r="C16" s="27">
        <v>80404</v>
      </c>
      <c r="D16" s="27">
        <v>103095</v>
      </c>
      <c r="E16" s="27">
        <v>18755</v>
      </c>
      <c r="F16" s="27">
        <v>78926</v>
      </c>
      <c r="G16" s="49">
        <v>97681</v>
      </c>
    </row>
    <row r="17" spans="1:7" x14ac:dyDescent="0.35">
      <c r="A17" s="66" t="s">
        <v>36</v>
      </c>
      <c r="B17" s="27">
        <v>17387</v>
      </c>
      <c r="C17" s="27">
        <v>68177</v>
      </c>
      <c r="D17" s="27">
        <v>85564</v>
      </c>
      <c r="E17" s="27">
        <v>14474</v>
      </c>
      <c r="F17" s="27">
        <v>67246</v>
      </c>
      <c r="G17" s="49">
        <v>81720</v>
      </c>
    </row>
    <row r="18" spans="1:7" x14ac:dyDescent="0.35">
      <c r="A18" s="66" t="s">
        <v>37</v>
      </c>
      <c r="B18" s="27">
        <v>14121</v>
      </c>
      <c r="C18" s="27">
        <v>53867</v>
      </c>
      <c r="D18" s="27">
        <v>67988</v>
      </c>
      <c r="E18" s="27">
        <v>12192</v>
      </c>
      <c r="F18" s="27">
        <v>53004</v>
      </c>
      <c r="G18" s="49">
        <v>65196</v>
      </c>
    </row>
    <row r="19" spans="1:7" x14ac:dyDescent="0.35">
      <c r="A19" s="66" t="s">
        <v>38</v>
      </c>
      <c r="B19" s="27">
        <v>15064</v>
      </c>
      <c r="C19" s="27">
        <v>52846</v>
      </c>
      <c r="D19" s="27">
        <v>67910</v>
      </c>
      <c r="E19" s="27">
        <v>12452</v>
      </c>
      <c r="F19" s="27">
        <v>51819</v>
      </c>
      <c r="G19" s="49">
        <v>64271</v>
      </c>
    </row>
    <row r="20" spans="1:7" x14ac:dyDescent="0.35">
      <c r="A20" s="66" t="s">
        <v>39</v>
      </c>
      <c r="B20" s="27">
        <v>12969</v>
      </c>
      <c r="C20" s="27">
        <v>49240</v>
      </c>
      <c r="D20" s="27">
        <v>62209</v>
      </c>
      <c r="E20" s="27">
        <v>10883</v>
      </c>
      <c r="F20" s="27">
        <v>48404</v>
      </c>
      <c r="G20" s="49">
        <v>59287</v>
      </c>
    </row>
    <row r="21" spans="1:7" x14ac:dyDescent="0.35">
      <c r="A21" s="66" t="s">
        <v>40</v>
      </c>
      <c r="B21" s="27">
        <v>13090</v>
      </c>
      <c r="C21" s="27">
        <v>47421</v>
      </c>
      <c r="D21" s="27">
        <v>60511</v>
      </c>
      <c r="E21" s="27">
        <v>10804</v>
      </c>
      <c r="F21" s="27">
        <v>46531</v>
      </c>
      <c r="G21" s="49">
        <v>57335</v>
      </c>
    </row>
    <row r="22" spans="1:7" x14ac:dyDescent="0.35">
      <c r="A22" s="66" t="s">
        <v>41</v>
      </c>
      <c r="B22" s="27">
        <v>12726</v>
      </c>
      <c r="C22" s="27">
        <v>44402</v>
      </c>
      <c r="D22" s="27">
        <v>57128</v>
      </c>
      <c r="E22" s="27">
        <v>9993</v>
      </c>
      <c r="F22" s="27">
        <v>43611</v>
      </c>
      <c r="G22" s="49">
        <v>53604</v>
      </c>
    </row>
    <row r="23" spans="1:7" x14ac:dyDescent="0.35">
      <c r="A23" s="66" t="s">
        <v>42</v>
      </c>
      <c r="B23" s="27">
        <v>11549</v>
      </c>
      <c r="C23" s="27">
        <v>41994</v>
      </c>
      <c r="D23" s="27">
        <v>53543</v>
      </c>
      <c r="E23" s="27">
        <v>9216</v>
      </c>
      <c r="F23" s="27">
        <v>41161</v>
      </c>
      <c r="G23" s="49">
        <v>50377</v>
      </c>
    </row>
    <row r="24" spans="1:7" x14ac:dyDescent="0.35">
      <c r="A24" s="66" t="s">
        <v>43</v>
      </c>
      <c r="B24" s="27">
        <v>9683</v>
      </c>
      <c r="C24" s="27">
        <v>35828</v>
      </c>
      <c r="D24" s="27">
        <v>45511</v>
      </c>
      <c r="E24" s="27">
        <v>8281</v>
      </c>
      <c r="F24" s="27">
        <v>35217</v>
      </c>
      <c r="G24" s="49">
        <v>43498</v>
      </c>
    </row>
    <row r="25" spans="1:7" x14ac:dyDescent="0.35">
      <c r="A25" s="66" t="s">
        <v>44</v>
      </c>
      <c r="B25" s="27">
        <v>9386</v>
      </c>
      <c r="C25" s="27">
        <v>34255</v>
      </c>
      <c r="D25" s="27">
        <v>43641</v>
      </c>
      <c r="E25" s="27">
        <v>7599</v>
      </c>
      <c r="F25" s="27">
        <v>33674</v>
      </c>
      <c r="G25" s="49">
        <v>41273</v>
      </c>
    </row>
    <row r="26" spans="1:7" x14ac:dyDescent="0.35">
      <c r="A26" s="66" t="s">
        <v>46</v>
      </c>
      <c r="B26" s="27">
        <v>8758</v>
      </c>
      <c r="C26" s="27">
        <v>32331</v>
      </c>
      <c r="D26" s="27">
        <v>41089</v>
      </c>
      <c r="E26" s="27">
        <v>7052</v>
      </c>
      <c r="F26" s="27">
        <v>31699</v>
      </c>
      <c r="G26" s="49">
        <v>38751</v>
      </c>
    </row>
    <row r="27" spans="1:7" x14ac:dyDescent="0.35">
      <c r="A27" s="66" t="s">
        <v>45</v>
      </c>
      <c r="B27" s="27">
        <v>9566</v>
      </c>
      <c r="C27" s="27">
        <v>30421</v>
      </c>
      <c r="D27" s="27">
        <v>39987</v>
      </c>
      <c r="E27" s="27">
        <v>7722</v>
      </c>
      <c r="F27" s="27">
        <v>29938</v>
      </c>
      <c r="G27" s="49">
        <v>37660</v>
      </c>
    </row>
    <row r="28" spans="1:7" x14ac:dyDescent="0.35">
      <c r="A28" s="66" t="s">
        <v>48</v>
      </c>
      <c r="B28" s="27">
        <v>9372</v>
      </c>
      <c r="C28" s="27">
        <v>29575</v>
      </c>
      <c r="D28" s="27">
        <v>38947</v>
      </c>
      <c r="E28" s="27">
        <v>7715</v>
      </c>
      <c r="F28" s="27">
        <v>29137</v>
      </c>
      <c r="G28" s="49">
        <v>36852</v>
      </c>
    </row>
    <row r="29" spans="1:7" x14ac:dyDescent="0.35">
      <c r="A29" s="66" t="s">
        <v>47</v>
      </c>
      <c r="B29" s="27">
        <v>8640</v>
      </c>
      <c r="C29" s="27">
        <v>30248</v>
      </c>
      <c r="D29" s="27">
        <v>38888</v>
      </c>
      <c r="E29" s="27">
        <v>7397</v>
      </c>
      <c r="F29" s="27">
        <v>29700</v>
      </c>
      <c r="G29" s="49">
        <v>37097</v>
      </c>
    </row>
    <row r="30" spans="1:7" x14ac:dyDescent="0.35">
      <c r="A30" s="66" t="s">
        <v>50</v>
      </c>
      <c r="B30" s="27">
        <v>7824</v>
      </c>
      <c r="C30" s="27">
        <v>29270</v>
      </c>
      <c r="D30" s="27">
        <v>37094</v>
      </c>
      <c r="E30" s="27">
        <v>6494</v>
      </c>
      <c r="F30" s="27">
        <v>28709</v>
      </c>
      <c r="G30" s="49">
        <v>35203</v>
      </c>
    </row>
    <row r="31" spans="1:7" x14ac:dyDescent="0.35">
      <c r="A31" s="66" t="s">
        <v>49</v>
      </c>
      <c r="B31" s="27">
        <v>7673</v>
      </c>
      <c r="C31" s="27">
        <v>29053</v>
      </c>
      <c r="D31" s="27">
        <v>36726</v>
      </c>
      <c r="E31" s="27">
        <v>6560</v>
      </c>
      <c r="F31" s="27">
        <v>28426</v>
      </c>
      <c r="G31" s="49">
        <v>34986</v>
      </c>
    </row>
    <row r="32" spans="1:7" x14ac:dyDescent="0.35">
      <c r="A32" s="66" t="s">
        <v>51</v>
      </c>
      <c r="B32" s="27">
        <v>7431</v>
      </c>
      <c r="C32" s="27">
        <v>25593</v>
      </c>
      <c r="D32" s="27">
        <v>33024</v>
      </c>
      <c r="E32" s="27">
        <v>5758</v>
      </c>
      <c r="F32" s="27">
        <v>25176</v>
      </c>
      <c r="G32" s="49">
        <v>30934</v>
      </c>
    </row>
    <row r="33" spans="1:7" x14ac:dyDescent="0.35">
      <c r="A33" s="66" t="s">
        <v>52</v>
      </c>
      <c r="B33" s="27">
        <v>6743</v>
      </c>
      <c r="C33" s="27">
        <v>25135</v>
      </c>
      <c r="D33" s="27">
        <v>31878</v>
      </c>
      <c r="E33" s="27">
        <v>5525</v>
      </c>
      <c r="F33" s="27">
        <v>24646</v>
      </c>
      <c r="G33" s="49">
        <v>30171</v>
      </c>
    </row>
    <row r="34" spans="1:7" x14ac:dyDescent="0.35">
      <c r="A34" s="66" t="s">
        <v>53</v>
      </c>
      <c r="B34" s="27">
        <v>6161</v>
      </c>
      <c r="C34" s="27">
        <v>21901</v>
      </c>
      <c r="D34" s="27">
        <v>28062</v>
      </c>
      <c r="E34" s="27">
        <v>4805</v>
      </c>
      <c r="F34" s="27">
        <v>21495</v>
      </c>
      <c r="G34" s="49">
        <v>26300</v>
      </c>
    </row>
    <row r="35" spans="1:7" x14ac:dyDescent="0.35">
      <c r="A35" s="66" t="s">
        <v>54</v>
      </c>
      <c r="B35" s="29">
        <v>5987</v>
      </c>
      <c r="C35" s="29">
        <v>21742</v>
      </c>
      <c r="D35" s="29">
        <v>27729</v>
      </c>
      <c r="E35" s="29">
        <v>4687</v>
      </c>
      <c r="F35" s="29">
        <v>21292</v>
      </c>
      <c r="G35" s="40">
        <v>25979</v>
      </c>
    </row>
    <row r="36" spans="1:7" x14ac:dyDescent="0.35">
      <c r="A36" s="66" t="s">
        <v>55</v>
      </c>
      <c r="B36" s="29">
        <v>6093</v>
      </c>
      <c r="C36" s="29">
        <v>20145</v>
      </c>
      <c r="D36" s="29">
        <v>26238</v>
      </c>
      <c r="E36" s="29">
        <v>4952</v>
      </c>
      <c r="F36" s="29">
        <v>19835</v>
      </c>
      <c r="G36" s="40">
        <v>24787</v>
      </c>
    </row>
    <row r="37" spans="1:7" x14ac:dyDescent="0.35">
      <c r="A37" s="66" t="s">
        <v>56</v>
      </c>
      <c r="B37" s="29">
        <v>4527</v>
      </c>
      <c r="C37" s="29">
        <v>17089</v>
      </c>
      <c r="D37" s="29">
        <v>21616</v>
      </c>
      <c r="E37" s="29">
        <v>3804</v>
      </c>
      <c r="F37" s="29">
        <v>16792</v>
      </c>
      <c r="G37" s="40">
        <v>20596</v>
      </c>
    </row>
    <row r="38" spans="1:7" x14ac:dyDescent="0.35">
      <c r="A38" s="66" t="s">
        <v>57</v>
      </c>
      <c r="B38" s="29">
        <v>4436</v>
      </c>
      <c r="C38" s="29">
        <v>16232</v>
      </c>
      <c r="D38" s="29">
        <v>20668</v>
      </c>
      <c r="E38" s="29">
        <v>3682</v>
      </c>
      <c r="F38" s="29">
        <v>15887</v>
      </c>
      <c r="G38" s="40">
        <v>19569</v>
      </c>
    </row>
    <row r="39" spans="1:7" x14ac:dyDescent="0.35">
      <c r="A39" s="66" t="s">
        <v>58</v>
      </c>
      <c r="B39" s="29">
        <v>4202</v>
      </c>
      <c r="C39" s="29">
        <v>15316</v>
      </c>
      <c r="D39" s="29">
        <v>19518</v>
      </c>
      <c r="E39" s="29">
        <v>3421</v>
      </c>
      <c r="F39" s="29">
        <v>14986</v>
      </c>
      <c r="G39" s="40">
        <v>18407</v>
      </c>
    </row>
    <row r="40" spans="1:7" x14ac:dyDescent="0.35">
      <c r="A40" s="66" t="s">
        <v>59</v>
      </c>
      <c r="B40" s="29">
        <v>4136</v>
      </c>
      <c r="C40" s="29">
        <v>14892</v>
      </c>
      <c r="D40" s="29">
        <v>19028</v>
      </c>
      <c r="E40" s="29">
        <v>3310</v>
      </c>
      <c r="F40" s="29">
        <v>14601</v>
      </c>
      <c r="G40" s="40">
        <v>17911</v>
      </c>
    </row>
    <row r="41" spans="1:7" x14ac:dyDescent="0.35">
      <c r="A41" s="66" t="s">
        <v>60</v>
      </c>
      <c r="B41" s="29">
        <v>3558</v>
      </c>
      <c r="C41" s="29">
        <v>13852</v>
      </c>
      <c r="D41" s="29">
        <v>17410</v>
      </c>
      <c r="E41" s="29">
        <v>2967</v>
      </c>
      <c r="F41" s="29">
        <v>13577</v>
      </c>
      <c r="G41" s="40">
        <v>16544</v>
      </c>
    </row>
    <row r="42" spans="1:7" x14ac:dyDescent="0.35">
      <c r="A42" s="66" t="s">
        <v>61</v>
      </c>
      <c r="B42" s="29">
        <v>2910</v>
      </c>
      <c r="C42" s="29">
        <v>9194</v>
      </c>
      <c r="D42" s="29">
        <v>12104</v>
      </c>
      <c r="E42" s="29">
        <v>2158</v>
      </c>
      <c r="F42" s="29">
        <v>9028</v>
      </c>
      <c r="G42" s="40">
        <v>11186</v>
      </c>
    </row>
    <row r="43" spans="1:7" x14ac:dyDescent="0.35">
      <c r="A43" s="66" t="s">
        <v>63</v>
      </c>
      <c r="B43" s="29">
        <v>2144</v>
      </c>
      <c r="C43" s="29">
        <v>7148</v>
      </c>
      <c r="D43" s="29">
        <v>9292</v>
      </c>
      <c r="E43" s="29">
        <v>1627</v>
      </c>
      <c r="F43" s="29">
        <v>7041</v>
      </c>
      <c r="G43" s="40">
        <v>8668</v>
      </c>
    </row>
    <row r="44" spans="1:7" x14ac:dyDescent="0.35">
      <c r="A44" s="66" t="s">
        <v>62</v>
      </c>
      <c r="B44" s="29">
        <v>1889</v>
      </c>
      <c r="C44" s="29">
        <v>7267</v>
      </c>
      <c r="D44" s="29">
        <v>9156</v>
      </c>
      <c r="E44" s="29">
        <v>1552</v>
      </c>
      <c r="F44" s="29">
        <v>7148</v>
      </c>
      <c r="G44" s="40">
        <v>8700</v>
      </c>
    </row>
    <row r="45" spans="1:7" x14ac:dyDescent="0.35">
      <c r="A45" s="66" t="s">
        <v>64</v>
      </c>
      <c r="B45" s="29">
        <v>1438</v>
      </c>
      <c r="C45" s="29">
        <v>4950</v>
      </c>
      <c r="D45" s="29">
        <v>6388</v>
      </c>
      <c r="E45" s="29">
        <v>1174</v>
      </c>
      <c r="F45" s="29">
        <v>4862</v>
      </c>
      <c r="G45" s="40">
        <v>6036</v>
      </c>
    </row>
    <row r="46" spans="1:7" x14ac:dyDescent="0.35">
      <c r="A46" s="66" t="s">
        <v>114</v>
      </c>
      <c r="B46" s="29">
        <v>986</v>
      </c>
      <c r="C46" s="29">
        <v>3309</v>
      </c>
      <c r="D46" s="29">
        <v>4295</v>
      </c>
      <c r="E46" s="29">
        <v>749</v>
      </c>
      <c r="F46" s="29">
        <v>3254</v>
      </c>
      <c r="G46" s="40">
        <v>4003</v>
      </c>
    </row>
    <row r="47" spans="1:7" x14ac:dyDescent="0.35">
      <c r="A47" s="66" t="s">
        <v>65</v>
      </c>
      <c r="B47" s="29">
        <v>871</v>
      </c>
      <c r="C47" s="29">
        <v>2796</v>
      </c>
      <c r="D47" s="29">
        <v>3667</v>
      </c>
      <c r="E47" s="29">
        <v>675</v>
      </c>
      <c r="F47" s="29">
        <v>2737</v>
      </c>
      <c r="G47" s="40">
        <v>3412</v>
      </c>
    </row>
    <row r="48" spans="1:7" x14ac:dyDescent="0.35">
      <c r="A48" s="66" t="s">
        <v>66</v>
      </c>
      <c r="B48" s="29">
        <v>507</v>
      </c>
      <c r="C48" s="29">
        <v>2172</v>
      </c>
      <c r="D48" s="29">
        <v>2679</v>
      </c>
      <c r="E48" s="29">
        <v>379</v>
      </c>
      <c r="F48" s="29">
        <v>2130</v>
      </c>
      <c r="G48" s="40">
        <v>2509</v>
      </c>
    </row>
    <row r="49" spans="1:7" x14ac:dyDescent="0.35">
      <c r="A49" s="66" t="s">
        <v>67</v>
      </c>
      <c r="B49" s="29">
        <v>423</v>
      </c>
      <c r="C49" s="29">
        <v>1487</v>
      </c>
      <c r="D49" s="29">
        <v>1910</v>
      </c>
      <c r="E49" s="29">
        <v>336</v>
      </c>
      <c r="F49" s="29">
        <v>1461</v>
      </c>
      <c r="G49" s="40">
        <v>1797</v>
      </c>
    </row>
    <row r="50" spans="1:7" x14ac:dyDescent="0.35">
      <c r="A50" s="66" t="s">
        <v>68</v>
      </c>
      <c r="B50" s="29">
        <v>321</v>
      </c>
      <c r="C50" s="29">
        <v>1239</v>
      </c>
      <c r="D50" s="29">
        <v>1560</v>
      </c>
      <c r="E50" s="29">
        <v>256</v>
      </c>
      <c r="F50" s="29">
        <v>1197</v>
      </c>
      <c r="G50" s="40">
        <v>1453</v>
      </c>
    </row>
    <row r="51" spans="1:7" x14ac:dyDescent="0.35">
      <c r="A51" s="66" t="s">
        <v>69</v>
      </c>
      <c r="B51" s="29">
        <v>123</v>
      </c>
      <c r="C51" s="29">
        <v>817</v>
      </c>
      <c r="D51" s="29">
        <v>940</v>
      </c>
      <c r="E51" s="29">
        <v>82</v>
      </c>
      <c r="F51" s="29">
        <v>807</v>
      </c>
      <c r="G51" s="40">
        <v>889</v>
      </c>
    </row>
    <row r="52" spans="1:7" x14ac:dyDescent="0.35">
      <c r="A52" s="66" t="s">
        <v>70</v>
      </c>
      <c r="B52" s="29">
        <v>176</v>
      </c>
      <c r="C52" s="29">
        <v>764</v>
      </c>
      <c r="D52" s="29">
        <v>940</v>
      </c>
      <c r="E52" s="29">
        <v>123</v>
      </c>
      <c r="F52" s="29">
        <v>740</v>
      </c>
      <c r="G52" s="40">
        <v>863</v>
      </c>
    </row>
    <row r="53" spans="1:7" x14ac:dyDescent="0.35">
      <c r="A53" s="66" t="s">
        <v>71</v>
      </c>
      <c r="B53" s="29">
        <v>291</v>
      </c>
      <c r="C53" s="29">
        <v>430</v>
      </c>
      <c r="D53" s="29">
        <v>721</v>
      </c>
      <c r="E53" s="29">
        <v>165</v>
      </c>
      <c r="F53" s="29">
        <v>423</v>
      </c>
      <c r="G53" s="40">
        <v>588</v>
      </c>
    </row>
    <row r="54" spans="1:7" x14ac:dyDescent="0.35">
      <c r="A54" s="66" t="s">
        <v>73</v>
      </c>
      <c r="B54" s="29">
        <v>90</v>
      </c>
      <c r="C54" s="29">
        <v>550</v>
      </c>
      <c r="D54" s="29">
        <v>640</v>
      </c>
      <c r="E54" s="29">
        <v>68</v>
      </c>
      <c r="F54" s="29">
        <v>533</v>
      </c>
      <c r="G54" s="40">
        <v>601</v>
      </c>
    </row>
    <row r="55" spans="1:7" x14ac:dyDescent="0.35">
      <c r="A55" s="66" t="s">
        <v>72</v>
      </c>
      <c r="B55" s="29">
        <v>110</v>
      </c>
      <c r="C55" s="29">
        <v>475</v>
      </c>
      <c r="D55" s="29">
        <v>585</v>
      </c>
      <c r="E55" s="29">
        <v>94</v>
      </c>
      <c r="F55" s="29">
        <v>463</v>
      </c>
      <c r="G55" s="40">
        <v>557</v>
      </c>
    </row>
    <row r="56" spans="1:7" x14ac:dyDescent="0.35">
      <c r="A56" s="66" t="s">
        <v>74</v>
      </c>
      <c r="B56" s="29">
        <v>62</v>
      </c>
      <c r="C56" s="29">
        <v>359</v>
      </c>
      <c r="D56" s="29">
        <v>421</v>
      </c>
      <c r="E56" s="29">
        <v>49</v>
      </c>
      <c r="F56" s="29">
        <v>354</v>
      </c>
      <c r="G56" s="40">
        <v>403</v>
      </c>
    </row>
    <row r="57" spans="1:7" x14ac:dyDescent="0.35">
      <c r="A57" s="66" t="s">
        <v>75</v>
      </c>
      <c r="B57" s="29">
        <v>134</v>
      </c>
      <c r="C57" s="29">
        <v>176</v>
      </c>
      <c r="D57" s="29">
        <v>310</v>
      </c>
      <c r="E57" s="29">
        <v>69</v>
      </c>
      <c r="F57" s="29">
        <v>170</v>
      </c>
      <c r="G57" s="40">
        <v>239</v>
      </c>
    </row>
    <row r="58" spans="1:7" x14ac:dyDescent="0.35">
      <c r="A58" s="66" t="s">
        <v>76</v>
      </c>
      <c r="B58" s="29">
        <v>18</v>
      </c>
      <c r="C58" s="29">
        <v>192</v>
      </c>
      <c r="D58" s="29">
        <v>210</v>
      </c>
      <c r="E58" s="29">
        <v>11</v>
      </c>
      <c r="F58" s="29">
        <v>185</v>
      </c>
      <c r="G58" s="40">
        <v>196</v>
      </c>
    </row>
    <row r="59" spans="1:7" x14ac:dyDescent="0.35">
      <c r="A59" s="66" t="s">
        <v>152</v>
      </c>
      <c r="B59" s="29">
        <v>19</v>
      </c>
      <c r="C59" s="29">
        <v>153</v>
      </c>
      <c r="D59" s="29">
        <v>172</v>
      </c>
      <c r="E59" s="29">
        <v>12</v>
      </c>
      <c r="F59" s="29">
        <v>149</v>
      </c>
      <c r="G59" s="40">
        <v>161</v>
      </c>
    </row>
    <row r="60" spans="1:7" x14ac:dyDescent="0.35">
      <c r="A60" s="66" t="s">
        <v>77</v>
      </c>
      <c r="B60" s="29">
        <v>25</v>
      </c>
      <c r="C60" s="29">
        <v>100</v>
      </c>
      <c r="D60" s="29">
        <v>125</v>
      </c>
      <c r="E60" s="29">
        <v>21</v>
      </c>
      <c r="F60" s="29">
        <v>98</v>
      </c>
      <c r="G60" s="40">
        <v>119</v>
      </c>
    </row>
    <row r="61" spans="1:7" x14ac:dyDescent="0.35">
      <c r="A61" s="66" t="s">
        <v>153</v>
      </c>
      <c r="B61" s="29">
        <v>34</v>
      </c>
      <c r="C61" s="29">
        <v>35</v>
      </c>
      <c r="D61" s="29">
        <v>69</v>
      </c>
      <c r="E61" s="29">
        <v>7</v>
      </c>
      <c r="F61" s="29">
        <v>34</v>
      </c>
      <c r="G61" s="40">
        <v>41</v>
      </c>
    </row>
    <row r="62" spans="1:7" x14ac:dyDescent="0.35">
      <c r="A62" s="66" t="s">
        <v>154</v>
      </c>
      <c r="B62" s="29">
        <v>2</v>
      </c>
      <c r="C62" s="29">
        <v>42</v>
      </c>
      <c r="D62" s="29">
        <v>44</v>
      </c>
      <c r="E62" s="29">
        <v>2</v>
      </c>
      <c r="F62" s="29">
        <v>41</v>
      </c>
      <c r="G62" s="40">
        <v>43</v>
      </c>
    </row>
    <row r="63" spans="1:7" x14ac:dyDescent="0.35">
      <c r="A63" s="66" t="s">
        <v>115</v>
      </c>
      <c r="B63" s="29">
        <v>4</v>
      </c>
      <c r="C63" s="29">
        <v>31</v>
      </c>
      <c r="D63" s="29">
        <v>35</v>
      </c>
      <c r="E63" s="29">
        <v>3</v>
      </c>
      <c r="F63" s="29">
        <v>28</v>
      </c>
      <c r="G63" s="40">
        <v>31</v>
      </c>
    </row>
    <row r="64" spans="1:7" x14ac:dyDescent="0.35">
      <c r="A64" s="66" t="s">
        <v>155</v>
      </c>
      <c r="B64" s="29">
        <v>2</v>
      </c>
      <c r="C64" s="29">
        <v>31</v>
      </c>
      <c r="D64" s="29">
        <v>33</v>
      </c>
      <c r="E64" s="29">
        <v>2</v>
      </c>
      <c r="F64" s="29">
        <v>31</v>
      </c>
      <c r="G64" s="40">
        <v>33</v>
      </c>
    </row>
    <row r="65" spans="1:7" x14ac:dyDescent="0.35">
      <c r="A65" s="66" t="s">
        <v>78</v>
      </c>
      <c r="B65" s="29">
        <v>1</v>
      </c>
      <c r="C65" s="29">
        <v>28</v>
      </c>
      <c r="D65" s="29">
        <v>29</v>
      </c>
      <c r="E65" s="29">
        <v>1</v>
      </c>
      <c r="F65" s="29">
        <v>28</v>
      </c>
      <c r="G65" s="40">
        <v>29</v>
      </c>
    </row>
    <row r="66" spans="1:7" x14ac:dyDescent="0.35">
      <c r="A66" s="66" t="s">
        <v>79</v>
      </c>
      <c r="B66" s="29">
        <v>0</v>
      </c>
      <c r="C66" s="29">
        <v>27</v>
      </c>
      <c r="D66" s="29">
        <v>27</v>
      </c>
      <c r="E66" s="29">
        <v>0</v>
      </c>
      <c r="F66" s="29">
        <v>26</v>
      </c>
      <c r="G66" s="40">
        <v>26</v>
      </c>
    </row>
    <row r="67" spans="1:7" x14ac:dyDescent="0.35">
      <c r="A67" s="66" t="s">
        <v>80</v>
      </c>
      <c r="B67" s="29">
        <v>0</v>
      </c>
      <c r="C67" s="29">
        <v>16</v>
      </c>
      <c r="D67" s="29">
        <v>16</v>
      </c>
      <c r="E67" s="29">
        <v>0</v>
      </c>
      <c r="F67" s="29">
        <v>16</v>
      </c>
      <c r="G67" s="40">
        <v>16</v>
      </c>
    </row>
    <row r="68" spans="1:7" x14ac:dyDescent="0.35">
      <c r="A68" s="66" t="s">
        <v>81</v>
      </c>
      <c r="B68" s="30">
        <v>89</v>
      </c>
      <c r="C68" s="30">
        <v>302</v>
      </c>
      <c r="D68" s="30">
        <v>391</v>
      </c>
      <c r="E68" s="30">
        <v>10</v>
      </c>
      <c r="F68" s="30">
        <v>291</v>
      </c>
      <c r="G68" s="50">
        <v>301</v>
      </c>
    </row>
    <row r="69" spans="1:7" ht="15" thickBot="1" x14ac:dyDescent="0.4">
      <c r="A69" s="68" t="s">
        <v>123</v>
      </c>
      <c r="B69" s="51">
        <v>1022524</v>
      </c>
      <c r="C69" s="51">
        <v>3560688</v>
      </c>
      <c r="D69" s="51">
        <v>4583212</v>
      </c>
      <c r="E69" s="51">
        <v>835093</v>
      </c>
      <c r="F69" s="51">
        <v>3501896</v>
      </c>
      <c r="G69" s="52">
        <v>4336989</v>
      </c>
    </row>
    <row r="70" spans="1:7" ht="28" customHeight="1" x14ac:dyDescent="0.35">
      <c r="A70" s="115" t="s">
        <v>89</v>
      </c>
      <c r="B70" s="26"/>
      <c r="C70" s="26"/>
      <c r="D70" s="26"/>
      <c r="E70" s="26"/>
      <c r="F70" s="26"/>
      <c r="G70" s="26"/>
    </row>
    <row r="71" spans="1:7" x14ac:dyDescent="0.35">
      <c r="A71" s="105" t="s">
        <v>90</v>
      </c>
      <c r="B71" s="8"/>
      <c r="C71" s="8"/>
      <c r="D71" s="11"/>
      <c r="E71" s="10"/>
      <c r="F71" s="10"/>
      <c r="G71" s="11"/>
    </row>
    <row r="72" spans="1:7" x14ac:dyDescent="0.35">
      <c r="A72" s="116" t="s">
        <v>91</v>
      </c>
      <c r="B72" s="8"/>
      <c r="C72" s="8"/>
      <c r="D72" s="11"/>
      <c r="E72" s="10"/>
      <c r="F72" s="10"/>
      <c r="G72" s="11"/>
    </row>
    <row r="73" spans="1:7" x14ac:dyDescent="0.35">
      <c r="A73" s="117" t="s">
        <v>172</v>
      </c>
      <c r="B73" s="8"/>
      <c r="C73" s="8"/>
      <c r="D73" s="10"/>
      <c r="E73" s="10"/>
      <c r="F73" s="10"/>
      <c r="G73" s="10"/>
    </row>
    <row r="74" spans="1:7" x14ac:dyDescent="0.35">
      <c r="A74" s="117" t="s">
        <v>173</v>
      </c>
      <c r="B74" s="8"/>
      <c r="C74" s="8"/>
      <c r="D74" s="10"/>
      <c r="E74" s="10"/>
      <c r="F74" s="10"/>
      <c r="G74" s="10"/>
    </row>
    <row r="75" spans="1:7" x14ac:dyDescent="0.35">
      <c r="A75" s="117" t="s">
        <v>175</v>
      </c>
      <c r="B75" s="22"/>
      <c r="C75" s="22"/>
      <c r="D75" s="22"/>
      <c r="E75" s="22"/>
      <c r="F75" s="22"/>
      <c r="G75" s="22"/>
    </row>
    <row r="76" spans="1:7" x14ac:dyDescent="0.35">
      <c r="A76" s="118" t="s">
        <v>92</v>
      </c>
      <c r="B76" s="22"/>
      <c r="C76" s="22"/>
      <c r="D76" s="22"/>
      <c r="E76" s="22"/>
      <c r="F76" s="22"/>
      <c r="G76" s="22"/>
    </row>
    <row r="77" spans="1:7" x14ac:dyDescent="0.35">
      <c r="A77" s="119" t="s">
        <v>108</v>
      </c>
      <c r="B77" s="11"/>
      <c r="C77" s="11"/>
      <c r="D77" s="11"/>
      <c r="E77" s="11"/>
      <c r="F77" s="11"/>
      <c r="G77" s="11"/>
    </row>
    <row r="78" spans="1:7" x14ac:dyDescent="0.35">
      <c r="A78" s="117" t="s">
        <v>109</v>
      </c>
      <c r="B78" s="11"/>
      <c r="C78" s="11"/>
      <c r="D78" s="11"/>
      <c r="E78" s="11"/>
      <c r="F78" s="11"/>
      <c r="G78" s="11"/>
    </row>
    <row r="79" spans="1:7" x14ac:dyDescent="0.35">
      <c r="A79" s="117" t="s">
        <v>110</v>
      </c>
      <c r="B79" s="11"/>
      <c r="C79" s="11"/>
      <c r="D79" s="11"/>
      <c r="E79" s="11"/>
      <c r="F79" s="11"/>
      <c r="G79" s="11"/>
    </row>
    <row r="80" spans="1:7" x14ac:dyDescent="0.35">
      <c r="A80" s="120" t="s">
        <v>96</v>
      </c>
      <c r="B80" s="11"/>
      <c r="C80" s="11"/>
      <c r="D80" s="11"/>
      <c r="E80" s="11"/>
      <c r="F80" s="11"/>
      <c r="G80" s="11"/>
    </row>
    <row r="81" spans="1:7" x14ac:dyDescent="0.35">
      <c r="A81" s="118" t="s">
        <v>97</v>
      </c>
      <c r="B81" s="11"/>
      <c r="C81" s="11"/>
      <c r="D81" s="11"/>
      <c r="E81" s="11"/>
      <c r="F81" s="11"/>
      <c r="G81" s="11"/>
    </row>
    <row r="82" spans="1:7" x14ac:dyDescent="0.35">
      <c r="A82" s="120" t="s">
        <v>98</v>
      </c>
      <c r="B82" s="24"/>
      <c r="C82" s="24"/>
      <c r="D82" s="24"/>
      <c r="E82" s="24"/>
      <c r="F82" s="24"/>
      <c r="G82" s="24"/>
    </row>
    <row r="83" spans="1:7" x14ac:dyDescent="0.35">
      <c r="A83" s="111" t="s">
        <v>180</v>
      </c>
      <c r="B83" s="24"/>
      <c r="C83" s="24"/>
      <c r="D83" s="24"/>
      <c r="E83" s="24"/>
      <c r="F83" s="24"/>
      <c r="G83" s="24"/>
    </row>
  </sheetData>
  <pageMargins left="0.25" right="0.25" top="0.75" bottom="0.75" header="0.3" footer="0.3"/>
  <pageSetup scale="79"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DACA_Requests_by_FY</vt:lpstr>
      <vt:lpstr>DACA_FY25_Requests_by_Quarter</vt:lpstr>
      <vt:lpstr>DACA_COB</vt:lpstr>
      <vt:lpstr>DACA_State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Deferred Action for Childhood Arrivals (DACA) Quarterly Report (Fiscal Year 2025, Quarter 4)</dc:title>
  <dc:subject>Contains information on requests for Consideration of Deferred Action for Childhood Arrivals (DACA). It displays the intake and case status by fiscal year and fiscal year by quarter.  Also contains accepted and approved requests by country and U.S. state or territory of residence to date.</dc:subject>
  <dc:creator/>
  <cp:keywords>I-821, I-821D</cp:keywords>
  <cp:lastModifiedBy/>
  <dcterms:created xsi:type="dcterms:W3CDTF">2024-01-31T14:18:51Z</dcterms:created>
  <dcterms:modified xsi:type="dcterms:W3CDTF">2026-02-25T20:14:00Z</dcterms:modified>
</cp:coreProperties>
</file>