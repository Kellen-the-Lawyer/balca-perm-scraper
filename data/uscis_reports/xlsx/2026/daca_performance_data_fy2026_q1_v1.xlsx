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codeName="ThisWorkbook"/>
  <xr:revisionPtr revIDLastSave="0" documentId="13_ncr:1_{E6AF0C68-4EA8-437B-9366-B5AD2EA45521}" xr6:coauthVersionLast="47" xr6:coauthVersionMax="47" xr10:uidLastSave="{00000000-0000-0000-0000-000000000000}"/>
  <bookViews>
    <workbookView xWindow="-25710" yWindow="-110" windowWidth="25820" windowHeight="13900" tabRatio="832" xr2:uid="{00000000-000D-0000-FFFF-FFFF00000000}"/>
  </bookViews>
  <sheets>
    <sheet name="DACA_Requests_by_FY" sheetId="31" r:id="rId1"/>
    <sheet name="DACA_FY26_Requests_by_Quarter" sheetId="32" r:id="rId2"/>
    <sheet name="DACA_COB" sheetId="33" r:id="rId3"/>
    <sheet name="DACA_State" sheetId="34" r:id="rId4"/>
  </sheets>
  <definedNames>
    <definedName name="_xlnm.Print_Tit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34" l="1"/>
</calcChain>
</file>

<file path=xl/sharedStrings.xml><?xml version="1.0" encoding="utf-8"?>
<sst xmlns="http://schemas.openxmlformats.org/spreadsheetml/2006/main" count="239" uniqueCount="175">
  <si>
    <t>Total Cumulative</t>
  </si>
  <si>
    <t>Q1. October - December</t>
  </si>
  <si>
    <t>Mexico</t>
  </si>
  <si>
    <t>El Salvador</t>
  </si>
  <si>
    <t>Guatemala</t>
  </si>
  <si>
    <t>Honduras</t>
  </si>
  <si>
    <t>Peru</t>
  </si>
  <si>
    <t>Brazil</t>
  </si>
  <si>
    <t>Ecuador</t>
  </si>
  <si>
    <t>Colombia</t>
  </si>
  <si>
    <t>Philippines</t>
  </si>
  <si>
    <t>Argentina</t>
  </si>
  <si>
    <t>India</t>
  </si>
  <si>
    <t>Jamaica</t>
  </si>
  <si>
    <t>Venezuela</t>
  </si>
  <si>
    <t>Dominican Republic</t>
  </si>
  <si>
    <t>Uruguay</t>
  </si>
  <si>
    <t>Bolivia</t>
  </si>
  <si>
    <t>Costa Rica</t>
  </si>
  <si>
    <t>Chile</t>
  </si>
  <si>
    <t>Poland</t>
  </si>
  <si>
    <t>Pakistan</t>
  </si>
  <si>
    <t>Nicaragua</t>
  </si>
  <si>
    <t>Guyana</t>
  </si>
  <si>
    <t>All Others</t>
  </si>
  <si>
    <t>California</t>
  </si>
  <si>
    <t>Texas</t>
  </si>
  <si>
    <t>Illinois</t>
  </si>
  <si>
    <t>New York</t>
  </si>
  <si>
    <t>Florida</t>
  </si>
  <si>
    <t>Arizona</t>
  </si>
  <si>
    <t>North Carolina</t>
  </si>
  <si>
    <t>Georgia</t>
  </si>
  <si>
    <t>New Jersey</t>
  </si>
  <si>
    <t>Washington</t>
  </si>
  <si>
    <t>Colorado</t>
  </si>
  <si>
    <t>Nevada</t>
  </si>
  <si>
    <t>Oregon</t>
  </si>
  <si>
    <t>Virginia</t>
  </si>
  <si>
    <t>Indiana</t>
  </si>
  <si>
    <t>Utah</t>
  </si>
  <si>
    <t>Maryland</t>
  </si>
  <si>
    <t>Tennessee</t>
  </si>
  <si>
    <t>Wisconsin</t>
  </si>
  <si>
    <t>Oklahoma</t>
  </si>
  <si>
    <t>Massachusetts</t>
  </si>
  <si>
    <t>South Carolina</t>
  </si>
  <si>
    <t>Kansas</t>
  </si>
  <si>
    <t>New Mexico</t>
  </si>
  <si>
    <t>Minnesota</t>
  </si>
  <si>
    <t>Michigan</t>
  </si>
  <si>
    <t>Pennsylvania</t>
  </si>
  <si>
    <t>Arkansas</t>
  </si>
  <si>
    <t>Alabama</t>
  </si>
  <si>
    <t>Ohio</t>
  </si>
  <si>
    <t>Connecticut</t>
  </si>
  <si>
    <t>Missouri</t>
  </si>
  <si>
    <t>Nebraska</t>
  </si>
  <si>
    <t>Idaho</t>
  </si>
  <si>
    <t>Kentucky</t>
  </si>
  <si>
    <t>Iowa</t>
  </si>
  <si>
    <t>Louisiana</t>
  </si>
  <si>
    <t>Delaware</t>
  </si>
  <si>
    <t>Mississippi</t>
  </si>
  <si>
    <t>Rhode Island</t>
  </si>
  <si>
    <t>Wyoming</t>
  </si>
  <si>
    <t>Hawaii</t>
  </si>
  <si>
    <t>New Hampshire</t>
  </si>
  <si>
    <t>South Dakota</t>
  </si>
  <si>
    <t>North Dakota</t>
  </si>
  <si>
    <t>West Virginia</t>
  </si>
  <si>
    <t>Puerto Rico</t>
  </si>
  <si>
    <t>Alaska</t>
  </si>
  <si>
    <t>Montana</t>
  </si>
  <si>
    <t>Maine</t>
  </si>
  <si>
    <t>Virgin Islands</t>
  </si>
  <si>
    <t>Vermont</t>
  </si>
  <si>
    <t>Guam</t>
  </si>
  <si>
    <t>American Samoa</t>
  </si>
  <si>
    <t>Palau</t>
  </si>
  <si>
    <t>Marshall Islands</t>
  </si>
  <si>
    <t>Not Reported</t>
  </si>
  <si>
    <t>Requests by Intake and Case Status, by Fiscal Year</t>
  </si>
  <si>
    <t>Requests by Intake and Case Status</t>
  </si>
  <si>
    <t>Period</t>
  </si>
  <si>
    <t>Fiscal Year - Total</t>
  </si>
  <si>
    <t>2012 Initial</t>
  </si>
  <si>
    <t>2013 Initial</t>
  </si>
  <si>
    <t>Requests by Intake and Case Status, Current Fiscal Year by Quarter</t>
  </si>
  <si>
    <t>Table Key</t>
  </si>
  <si>
    <t>- Represents zero or rounds to 0.0</t>
  </si>
  <si>
    <t>References:</t>
  </si>
  <si>
    <t>Notes:</t>
  </si>
  <si>
    <t xml:space="preserve">1) Some requests approved, denied, or pending a decision may have been received in previous reporting periods. </t>
  </si>
  <si>
    <t>2) The report reflects the most up-to-date estimate available at the time the report is generated.</t>
  </si>
  <si>
    <t>3) The Quarterly Report totals may not match the totals provided within the Demographics Reports due to differences in how the data is generated.</t>
  </si>
  <si>
    <t>4) For a complete list of USCIS forms and descriptions, visit: https://www.uscis.gov/forms</t>
  </si>
  <si>
    <t>Source:</t>
  </si>
  <si>
    <t>Department of Homeland Security, U.S. Citizenship and Immigration Services, Office of Performance and Quality</t>
  </si>
  <si>
    <t>Accepted and Approved Requests by Country of Birth</t>
  </si>
  <si>
    <r>
      <t>Accepted to Date</t>
    </r>
    <r>
      <rPr>
        <b/>
        <vertAlign val="superscript"/>
        <sz val="10"/>
        <rFont val="Calibri"/>
        <family val="2"/>
        <scheme val="minor"/>
      </rPr>
      <t>1</t>
    </r>
  </si>
  <si>
    <r>
      <t>Approved to Date</t>
    </r>
    <r>
      <rPr>
        <b/>
        <vertAlign val="superscript"/>
        <sz val="10"/>
        <rFont val="Calibri"/>
        <family val="2"/>
        <scheme val="minor"/>
      </rPr>
      <t>2</t>
    </r>
  </si>
  <si>
    <t>Top Countries of Birth</t>
  </si>
  <si>
    <t>Initials</t>
  </si>
  <si>
    <t>Renewals</t>
  </si>
  <si>
    <t>Total</t>
  </si>
  <si>
    <t>Country</t>
  </si>
  <si>
    <t>- Represents zero</t>
  </si>
  <si>
    <t xml:space="preserve">1) Some requests approved may have been received in previous reporting periods. </t>
  </si>
  <si>
    <t>2) The report reflects the most up-to-date estimate data available at the time the report is generated.</t>
  </si>
  <si>
    <t>3) Ranked by total approvals.</t>
  </si>
  <si>
    <t>Accepted and Approved Requests by State/Territory of Residence</t>
  </si>
  <si>
    <t>Residence</t>
  </si>
  <si>
    <t xml:space="preserve"> transfers between offices; thus the total pending counts cannot be calculated using data from previous reporting periods.</t>
  </si>
  <si>
    <t>District Of Columbia</t>
  </si>
  <si>
    <t>Federated States Of Micronesia</t>
  </si>
  <si>
    <t>Number of Form I-821D, Consideration of Deferred Action for Childhood Arrivals</t>
  </si>
  <si>
    <r>
      <rPr>
        <b/>
        <sz val="10"/>
        <rFont val="Calibri"/>
        <family val="2"/>
        <scheme val="minor"/>
      </rPr>
      <t>Requests Accepted</t>
    </r>
    <r>
      <rPr>
        <b/>
        <vertAlign val="superscript"/>
        <sz val="10"/>
        <rFont val="Calibri"/>
        <family val="2"/>
        <scheme val="minor"/>
      </rPr>
      <t>1</t>
    </r>
  </si>
  <si>
    <r>
      <t>Requests Rejected</t>
    </r>
    <r>
      <rPr>
        <b/>
        <vertAlign val="superscript"/>
        <sz val="10"/>
        <rFont val="Calibri"/>
        <family val="2"/>
        <scheme val="minor"/>
      </rPr>
      <t>2</t>
    </r>
  </si>
  <si>
    <r>
      <t>Total Requests Received</t>
    </r>
    <r>
      <rPr>
        <b/>
        <vertAlign val="superscript"/>
        <sz val="10"/>
        <rFont val="Calibri"/>
        <family val="2"/>
        <scheme val="minor"/>
      </rPr>
      <t>3</t>
    </r>
  </si>
  <si>
    <r>
      <t>Approved</t>
    </r>
    <r>
      <rPr>
        <b/>
        <vertAlign val="superscript"/>
        <sz val="10"/>
        <rFont val="Calibri"/>
        <family val="2"/>
        <scheme val="minor"/>
      </rPr>
      <t>4</t>
    </r>
  </si>
  <si>
    <r>
      <t>Denied</t>
    </r>
    <r>
      <rPr>
        <b/>
        <vertAlign val="superscript"/>
        <sz val="10"/>
        <rFont val="Calibri"/>
        <family val="2"/>
        <scheme val="minor"/>
      </rPr>
      <t>5</t>
    </r>
  </si>
  <si>
    <r>
      <t>Pending</t>
    </r>
    <r>
      <rPr>
        <b/>
        <vertAlign val="superscript"/>
        <sz val="10"/>
        <rFont val="Calibri"/>
        <family val="2"/>
        <scheme val="minor"/>
      </rPr>
      <t>6</t>
    </r>
  </si>
  <si>
    <t>Grand Total</t>
  </si>
  <si>
    <t>2014 Initial</t>
  </si>
  <si>
    <t>2014 Renewal</t>
  </si>
  <si>
    <t>2015 Initial</t>
  </si>
  <si>
    <t>2015 Renewal</t>
  </si>
  <si>
    <t>2016 Initial</t>
  </si>
  <si>
    <t>2016 Renewal</t>
  </si>
  <si>
    <t>2017 Initial</t>
  </si>
  <si>
    <t>2017 Renewal</t>
  </si>
  <si>
    <t>2018 Initial</t>
  </si>
  <si>
    <t>2018 Renewal</t>
  </si>
  <si>
    <t>2019 Initial</t>
  </si>
  <si>
    <t>2019 Renewal</t>
  </si>
  <si>
    <t>2020 Initial</t>
  </si>
  <si>
    <t>2020 Renewal</t>
  </si>
  <si>
    <t>2021 Initial</t>
  </si>
  <si>
    <t>2021 Renewal</t>
  </si>
  <si>
    <t>2022 Initial</t>
  </si>
  <si>
    <t>2022 Renewal</t>
  </si>
  <si>
    <t>2023 Initial</t>
  </si>
  <si>
    <t>2023 Renewal</t>
  </si>
  <si>
    <t>2024 Initial</t>
  </si>
  <si>
    <t>2024 Renewal</t>
  </si>
  <si>
    <t>2025 Initial</t>
  </si>
  <si>
    <t>2025 Renewal</t>
  </si>
  <si>
    <t>Total Cumulative Initial</t>
  </si>
  <si>
    <t>Total Cumulative Renewal</t>
  </si>
  <si>
    <t>Q1. October - December Initial</t>
  </si>
  <si>
    <t>Q1. October - December Renewal</t>
  </si>
  <si>
    <t>Armed Forces In The Americas Excluding Canada</t>
  </si>
  <si>
    <t>Northern Marianas Island</t>
  </si>
  <si>
    <t>Armed Forces In Europe, The Middle East, Africa, And Canada</t>
  </si>
  <si>
    <t>Armed Forces In The Pacific</t>
  </si>
  <si>
    <t>Trinidad And Tobago</t>
  </si>
  <si>
    <t>Nigeria</t>
  </si>
  <si>
    <r>
      <rPr>
        <vertAlign val="superscript"/>
        <sz val="9"/>
        <color rgb="FF000000"/>
        <rFont val="Calibri"/>
        <family val="2"/>
      </rPr>
      <t>1</t>
    </r>
    <r>
      <rPr>
        <sz val="9"/>
        <color rgb="FF000000"/>
        <rFont val="Calibri"/>
        <family val="2"/>
      </rPr>
      <t>The number of new requests accepted at a Lockbox during the reporting period.</t>
    </r>
  </si>
  <si>
    <r>
      <rPr>
        <vertAlign val="superscript"/>
        <sz val="9"/>
        <color rgb="FF000000"/>
        <rFont val="Calibri"/>
        <family val="2"/>
      </rPr>
      <t>2</t>
    </r>
    <r>
      <rPr>
        <sz val="9"/>
        <color rgb="FF000000"/>
        <rFont val="Calibri"/>
        <family val="2"/>
      </rPr>
      <t>The number of requests rejected at a Lockbox during the reporting period.</t>
    </r>
  </si>
  <si>
    <r>
      <rPr>
        <vertAlign val="superscript"/>
        <sz val="9"/>
        <color rgb="FF000000"/>
        <rFont val="Calibri"/>
        <family val="2"/>
      </rPr>
      <t>3</t>
    </r>
    <r>
      <rPr>
        <sz val="9"/>
        <color rgb="FF000000"/>
        <rFont val="Calibri"/>
        <family val="2"/>
      </rPr>
      <t>The number of requests received and entered into a case-tracking system during the reporting period.</t>
    </r>
  </si>
  <si>
    <r>
      <rPr>
        <vertAlign val="superscript"/>
        <sz val="9"/>
        <rFont val="Calibri"/>
        <family val="2"/>
      </rPr>
      <t>4</t>
    </r>
    <r>
      <rPr>
        <sz val="9"/>
        <rFont val="Calibri"/>
        <family val="2"/>
      </rPr>
      <t>The number of requests approved during the reporting period. Initial request approvals after July 16, 2021 are reaffirmations of previous approvals.</t>
    </r>
  </si>
  <si>
    <r>
      <rPr>
        <vertAlign val="superscript"/>
        <sz val="9"/>
        <rFont val="Calibri"/>
        <family val="2"/>
      </rPr>
      <t>5</t>
    </r>
    <r>
      <rPr>
        <sz val="9"/>
        <rFont val="Calibri"/>
        <family val="2"/>
      </rPr>
      <t>The number of requests denied during the reporting period. Initial request denials after July 16, 2021 are terminations, reaffirmations of previous denials, or administrative actions taken to close a case.</t>
    </r>
  </si>
  <si>
    <r>
      <rPr>
        <vertAlign val="superscript"/>
        <sz val="9"/>
        <rFont val="Calibri"/>
        <family val="2"/>
      </rPr>
      <t>6</t>
    </r>
    <r>
      <rPr>
        <sz val="9"/>
        <rFont val="Calibri"/>
        <family val="2"/>
      </rPr>
      <t xml:space="preserve"> The number of applications awaiting a decision as of the end of the reporting period. Some actions taken on cases are not reflected in this report such as administrative closures and </t>
    </r>
  </si>
  <si>
    <r>
      <rPr>
        <vertAlign val="superscript"/>
        <sz val="9"/>
        <rFont val="Calibri"/>
        <family val="2"/>
      </rPr>
      <t>1</t>
    </r>
    <r>
      <rPr>
        <sz val="9"/>
        <rFont val="Calibri"/>
        <family val="2"/>
      </rPr>
      <t xml:space="preserve"> The number of requests accepted to date of the reporting period.</t>
    </r>
  </si>
  <si>
    <r>
      <rPr>
        <vertAlign val="superscript"/>
        <sz val="9"/>
        <rFont val="Calibri"/>
        <family val="2"/>
      </rPr>
      <t xml:space="preserve">2  </t>
    </r>
    <r>
      <rPr>
        <sz val="9"/>
        <rFont val="Calibri"/>
        <family val="2"/>
      </rPr>
      <t>The number of requests approved to date of the reporting period.</t>
    </r>
  </si>
  <si>
    <r>
      <rPr>
        <vertAlign val="superscript"/>
        <sz val="9"/>
        <rFont val="Calibri"/>
        <family val="2"/>
      </rPr>
      <t xml:space="preserve">3  </t>
    </r>
    <r>
      <rPr>
        <sz val="9"/>
        <rFont val="Calibri"/>
        <family val="2"/>
      </rPr>
      <t>All fields with a blank in the country of birth field are included in the field "All Others."</t>
    </r>
  </si>
  <si>
    <r>
      <rPr>
        <vertAlign val="superscript"/>
        <sz val="9"/>
        <rFont val="Calibri"/>
        <family val="2"/>
      </rPr>
      <t xml:space="preserve">3  </t>
    </r>
    <r>
      <rPr>
        <sz val="9"/>
        <rFont val="Calibri"/>
        <family val="2"/>
      </rPr>
      <t>All fields with a blank in the State field are included in the field "not reported."</t>
    </r>
  </si>
  <si>
    <t>August 15, 2012 - December 31, 2025</t>
  </si>
  <si>
    <t>CLAIMS3, ELIS, accessed 1/2026, PAER0020064</t>
  </si>
  <si>
    <t>2026 Initial</t>
  </si>
  <si>
    <t>2026 Renewal</t>
  </si>
  <si>
    <t>October 1, 2025 - December 31, 2025</t>
  </si>
  <si>
    <t>South Korea</t>
  </si>
  <si>
    <t>Fiscal Year 2026 by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</si>
</sst>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3" x14ac:knownFonts="1">
    <font>
      <sz val="11"/>
      <color theme="1"/>
      <name val="Calibri"/>
      <family val="2"/>
      <scheme val="minor"/>
    </font>
    <font>
      <sz val="11"/>
      <color theme="1"/>
      <name val="Calibri"/>
      <family val="2"/>
      <scheme val="minor"/>
    </font>
    <font>
      <sz val="10"/>
      <color theme="1"/>
      <name val="Source Sans Pro"/>
      <family val="2"/>
    </font>
    <font>
      <sz val="11"/>
      <color theme="1"/>
      <name val="Source Sans Pro"/>
      <family val="2"/>
    </font>
    <font>
      <sz val="11"/>
      <color rgb="FFFF0000"/>
      <name val="Source Sans Pro"/>
      <family val="2"/>
    </font>
    <font>
      <sz val="10"/>
      <color theme="0"/>
      <name val="Source Sans Pro"/>
      <family val="2"/>
    </font>
    <font>
      <b/>
      <sz val="10"/>
      <name val="Calibri"/>
      <family val="2"/>
      <scheme val="minor"/>
    </font>
    <font>
      <b/>
      <sz val="10"/>
      <color theme="1"/>
      <name val="Calibri"/>
      <family val="2"/>
      <scheme val="minor"/>
    </font>
    <font>
      <sz val="10"/>
      <color theme="1"/>
      <name val="Calibri"/>
      <family val="2"/>
      <scheme val="minor"/>
    </font>
    <font>
      <sz val="9"/>
      <name val="Calibri"/>
      <family val="2"/>
      <scheme val="minor"/>
    </font>
    <font>
      <sz val="9"/>
      <color theme="1"/>
      <name val="Calibri"/>
      <family val="2"/>
      <scheme val="minor"/>
    </font>
    <font>
      <sz val="9"/>
      <color rgb="FFFF0000"/>
      <name val="Calibri"/>
      <family val="2"/>
      <scheme val="minor"/>
    </font>
    <font>
      <sz val="11"/>
      <color rgb="FF000000"/>
      <name val="Arial"/>
      <family val="2"/>
    </font>
    <font>
      <sz val="9"/>
      <color theme="1"/>
      <name val="Source Sans Pro"/>
      <family val="2"/>
    </font>
    <font>
      <b/>
      <vertAlign val="superscript"/>
      <sz val="10"/>
      <name val="Calibri"/>
      <family val="2"/>
      <scheme val="minor"/>
    </font>
    <font>
      <sz val="11"/>
      <color theme="1"/>
      <name val="Calibri"/>
      <family val="2"/>
    </font>
    <font>
      <b/>
      <u/>
      <sz val="9"/>
      <color theme="1"/>
      <name val="Calibri"/>
      <family val="2"/>
    </font>
    <font>
      <sz val="9"/>
      <name val="Calibri"/>
      <family val="2"/>
    </font>
    <font>
      <b/>
      <u/>
      <sz val="9"/>
      <name val="Calibri"/>
      <family val="2"/>
    </font>
    <font>
      <sz val="9"/>
      <color rgb="FF000000"/>
      <name val="Calibri"/>
      <family val="2"/>
    </font>
    <font>
      <vertAlign val="superscript"/>
      <sz val="9"/>
      <color rgb="FF000000"/>
      <name val="Calibri"/>
      <family val="2"/>
    </font>
    <font>
      <vertAlign val="superscript"/>
      <sz val="9"/>
      <name val="Calibri"/>
      <family val="2"/>
    </font>
    <font>
      <sz val="9"/>
      <color theme="1"/>
      <name val="Calibri"/>
      <family val="2"/>
    </font>
  </fonts>
  <fills count="7">
    <fill>
      <patternFill patternType="none"/>
    </fill>
    <fill>
      <patternFill patternType="gray125"/>
    </fill>
    <fill>
      <patternFill patternType="solid">
        <fgColor rgb="FF003366"/>
        <bgColor indexed="64"/>
      </patternFill>
    </fill>
    <fill>
      <patternFill patternType="solid">
        <fgColor rgb="FFEFEFEF"/>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s>
  <borders count="34">
    <border>
      <left/>
      <right/>
      <top/>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diagonal/>
    </border>
    <border>
      <left/>
      <right style="medium">
        <color indexed="64"/>
      </right>
      <top/>
      <bottom/>
      <diagonal/>
    </border>
    <border>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style="thin">
        <color auto="1"/>
      </top>
      <bottom/>
      <diagonal/>
    </border>
    <border>
      <left/>
      <right style="thin">
        <color auto="1"/>
      </right>
      <top style="thin">
        <color auto="1"/>
      </top>
      <bottom style="medium">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6">
    <xf numFmtId="0" fontId="0" fillId="0" borderId="0"/>
    <xf numFmtId="0" fontId="1" fillId="0" borderId="0"/>
    <xf numFmtId="43" fontId="1" fillId="0" borderId="0" applyFont="0" applyFill="0" applyBorder="0" applyAlignment="0" applyProtection="0"/>
    <xf numFmtId="0" fontId="12" fillId="0" borderId="0"/>
    <xf numFmtId="0" fontId="15" fillId="0" borderId="0"/>
    <xf numFmtId="43" fontId="1" fillId="0" borderId="0" applyFont="0" applyFill="0" applyBorder="0" applyAlignment="0" applyProtection="0"/>
  </cellStyleXfs>
  <cellXfs count="130">
    <xf numFmtId="0" fontId="0" fillId="0" borderId="0" xfId="0"/>
    <xf numFmtId="0" fontId="3" fillId="0" borderId="0" xfId="1" applyFont="1"/>
    <xf numFmtId="0" fontId="4" fillId="0" borderId="0" xfId="1" applyFont="1"/>
    <xf numFmtId="0" fontId="2" fillId="2" borderId="0" xfId="1" applyFont="1" applyFill="1"/>
    <xf numFmtId="0" fontId="2" fillId="0" borderId="0" xfId="1" applyFont="1"/>
    <xf numFmtId="0" fontId="8" fillId="3" borderId="6" xfId="1" applyFont="1" applyFill="1" applyBorder="1"/>
    <xf numFmtId="0" fontId="8" fillId="3" borderId="2" xfId="1" applyFont="1" applyFill="1" applyBorder="1"/>
    <xf numFmtId="0" fontId="8" fillId="3" borderId="3" xfId="1" applyFont="1" applyFill="1" applyBorder="1"/>
    <xf numFmtId="0" fontId="9" fillId="4" borderId="0" xfId="1" applyFont="1" applyFill="1" applyAlignment="1">
      <alignment horizontal="left"/>
    </xf>
    <xf numFmtId="0" fontId="10" fillId="4" borderId="0" xfId="1" applyFont="1" applyFill="1" applyAlignment="1">
      <alignment horizontal="center"/>
    </xf>
    <xf numFmtId="0" fontId="11" fillId="4" borderId="0" xfId="1" applyFont="1" applyFill="1" applyAlignment="1">
      <alignment horizontal="center"/>
    </xf>
    <xf numFmtId="0" fontId="10" fillId="4" borderId="0" xfId="1" applyFont="1" applyFill="1"/>
    <xf numFmtId="0" fontId="13" fillId="0" borderId="0" xfId="1" applyFont="1"/>
    <xf numFmtId="0" fontId="9" fillId="4" borderId="0" xfId="1" applyFont="1" applyFill="1" applyAlignment="1">
      <alignment horizontal="left" vertical="top" wrapText="1"/>
    </xf>
    <xf numFmtId="3" fontId="8" fillId="0" borderId="5" xfId="2" applyNumberFormat="1" applyFont="1" applyBorder="1"/>
    <xf numFmtId="3" fontId="8" fillId="0" borderId="5" xfId="1" applyNumberFormat="1" applyFont="1" applyBorder="1"/>
    <xf numFmtId="3" fontId="8" fillId="0" borderId="3" xfId="2" applyNumberFormat="1" applyFont="1" applyBorder="1"/>
    <xf numFmtId="3" fontId="8" fillId="0" borderId="4" xfId="2" applyNumberFormat="1" applyFont="1" applyBorder="1"/>
    <xf numFmtId="3" fontId="8" fillId="0" borderId="4" xfId="1" applyNumberFormat="1" applyFont="1" applyBorder="1"/>
    <xf numFmtId="3" fontId="8" fillId="4" borderId="5" xfId="2" applyNumberFormat="1" applyFont="1" applyFill="1" applyBorder="1"/>
    <xf numFmtId="3" fontId="8" fillId="4" borderId="5" xfId="1" applyNumberFormat="1" applyFont="1" applyFill="1" applyBorder="1"/>
    <xf numFmtId="3" fontId="8" fillId="4" borderId="3" xfId="2" applyNumberFormat="1" applyFont="1" applyFill="1" applyBorder="1"/>
    <xf numFmtId="0" fontId="10" fillId="4" borderId="0" xfId="1" applyFont="1" applyFill="1" applyAlignment="1">
      <alignment horizontal="left" wrapText="1"/>
    </xf>
    <xf numFmtId="0" fontId="3" fillId="4" borderId="0" xfId="1" applyFont="1" applyFill="1"/>
    <xf numFmtId="0" fontId="2" fillId="4" borderId="0" xfId="1" applyFont="1" applyFill="1"/>
    <xf numFmtId="41" fontId="9" fillId="4" borderId="0" xfId="1" applyNumberFormat="1" applyFont="1" applyFill="1" applyAlignment="1">
      <alignment horizontal="left"/>
    </xf>
    <xf numFmtId="3" fontId="9" fillId="4" borderId="0" xfId="1" applyNumberFormat="1" applyFont="1" applyFill="1" applyAlignment="1">
      <alignment horizontal="left"/>
    </xf>
    <xf numFmtId="164" fontId="8" fillId="0" borderId="5" xfId="5" applyNumberFormat="1" applyFont="1" applyBorder="1"/>
    <xf numFmtId="164" fontId="8" fillId="0" borderId="4" xfId="5" applyNumberFormat="1" applyFont="1" applyBorder="1"/>
    <xf numFmtId="164" fontId="8" fillId="0" borderId="5" xfId="5" applyNumberFormat="1" applyFont="1" applyBorder="1" applyAlignment="1">
      <alignment horizontal="right"/>
    </xf>
    <xf numFmtId="164" fontId="8" fillId="0" borderId="4" xfId="5" applyNumberFormat="1" applyFont="1" applyBorder="1" applyAlignment="1">
      <alignment horizontal="right"/>
    </xf>
    <xf numFmtId="164" fontId="7" fillId="5" borderId="5" xfId="5" applyNumberFormat="1" applyFont="1" applyFill="1" applyBorder="1" applyAlignment="1">
      <alignment horizontal="right"/>
    </xf>
    <xf numFmtId="0" fontId="13" fillId="4" borderId="0" xfId="1" applyFont="1" applyFill="1"/>
    <xf numFmtId="0" fontId="5" fillId="2" borderId="8" xfId="1" applyFont="1" applyFill="1" applyBorder="1"/>
    <xf numFmtId="0" fontId="2" fillId="2" borderId="9" xfId="1" applyFont="1" applyFill="1" applyBorder="1"/>
    <xf numFmtId="0" fontId="3" fillId="0" borderId="8" xfId="1" applyFont="1" applyBorder="1"/>
    <xf numFmtId="0" fontId="6" fillId="0" borderId="11" xfId="1" applyFont="1" applyBorder="1" applyAlignment="1">
      <alignment horizontal="center" wrapText="1"/>
    </xf>
    <xf numFmtId="0" fontId="7" fillId="3" borderId="13" xfId="1" applyFont="1" applyFill="1" applyBorder="1"/>
    <xf numFmtId="0" fontId="8" fillId="3" borderId="10" xfId="1" applyFont="1" applyFill="1" applyBorder="1"/>
    <xf numFmtId="0" fontId="8" fillId="0" borderId="13" xfId="1" applyFont="1" applyBorder="1" applyAlignment="1">
      <alignment horizontal="left" indent="2"/>
    </xf>
    <xf numFmtId="164" fontId="8" fillId="0" borderId="12" xfId="5" applyNumberFormat="1" applyFont="1" applyBorder="1" applyAlignment="1">
      <alignment horizontal="right"/>
    </xf>
    <xf numFmtId="0" fontId="7" fillId="5" borderId="13" xfId="1" applyFont="1" applyFill="1" applyBorder="1" applyAlignment="1">
      <alignment horizontal="left"/>
    </xf>
    <xf numFmtId="164" fontId="7" fillId="5" borderId="12" xfId="5" applyNumberFormat="1" applyFont="1" applyFill="1" applyBorder="1" applyAlignment="1">
      <alignment horizontal="right"/>
    </xf>
    <xf numFmtId="0" fontId="8" fillId="0" borderId="11" xfId="1" applyFont="1" applyBorder="1" applyAlignment="1">
      <alignment horizontal="left" indent="1"/>
    </xf>
    <xf numFmtId="0" fontId="8" fillId="0" borderId="13" xfId="1" applyFont="1" applyBorder="1" applyAlignment="1">
      <alignment horizontal="left" indent="1"/>
    </xf>
    <xf numFmtId="0" fontId="8" fillId="0" borderId="14" xfId="1" applyFont="1" applyBorder="1" applyAlignment="1">
      <alignment horizontal="left" indent="1"/>
    </xf>
    <xf numFmtId="164" fontId="8" fillId="0" borderId="15" xfId="5" applyNumberFormat="1" applyFont="1" applyBorder="1" applyAlignment="1">
      <alignment horizontal="right"/>
    </xf>
    <xf numFmtId="164" fontId="8" fillId="0" borderId="16" xfId="5" applyNumberFormat="1" applyFont="1" applyBorder="1" applyAlignment="1">
      <alignment horizontal="right"/>
    </xf>
    <xf numFmtId="3" fontId="8" fillId="3" borderId="10" xfId="1" applyNumberFormat="1" applyFont="1" applyFill="1" applyBorder="1" applyAlignment="1">
      <alignment horizontal="right"/>
    </xf>
    <xf numFmtId="164" fontId="8" fillId="0" borderId="12" xfId="5" applyNumberFormat="1" applyFont="1" applyBorder="1"/>
    <xf numFmtId="164" fontId="8" fillId="0" borderId="19" xfId="5" applyNumberFormat="1" applyFont="1" applyBorder="1" applyAlignment="1">
      <alignment horizontal="right"/>
    </xf>
    <xf numFmtId="3" fontId="6" fillId="3" borderId="15" xfId="1" applyNumberFormat="1" applyFont="1" applyFill="1" applyBorder="1" applyAlignment="1">
      <alignment horizontal="right"/>
    </xf>
    <xf numFmtId="3" fontId="6" fillId="3" borderId="16" xfId="1" applyNumberFormat="1" applyFont="1" applyFill="1" applyBorder="1" applyAlignment="1">
      <alignment horizontal="right"/>
    </xf>
    <xf numFmtId="0" fontId="14" fillId="0" borderId="5" xfId="1" applyFont="1" applyBorder="1" applyAlignment="1">
      <alignment horizontal="center" vertical="center" wrapText="1"/>
    </xf>
    <xf numFmtId="0" fontId="6" fillId="0" borderId="5" xfId="1" applyFont="1" applyBorder="1" applyAlignment="1">
      <alignment horizontal="center" vertical="center" wrapText="1"/>
    </xf>
    <xf numFmtId="0" fontId="6" fillId="0" borderId="5" xfId="1" applyFont="1" applyBorder="1" applyAlignment="1">
      <alignment horizontal="center" vertical="center"/>
    </xf>
    <xf numFmtId="0" fontId="6" fillId="0" borderId="12" xfId="1" applyFont="1" applyBorder="1" applyAlignment="1">
      <alignment horizontal="center" vertical="center"/>
    </xf>
    <xf numFmtId="0" fontId="6" fillId="0" borderId="1" xfId="1" applyFont="1" applyBorder="1" applyAlignment="1">
      <alignment horizontal="center" vertical="center" wrapText="1"/>
    </xf>
    <xf numFmtId="0" fontId="6" fillId="0" borderId="7" xfId="1" applyFont="1" applyBorder="1" applyAlignment="1">
      <alignment horizontal="center" vertical="center"/>
    </xf>
    <xf numFmtId="0" fontId="6" fillId="0" borderId="17" xfId="1" applyFont="1" applyBorder="1" applyAlignment="1">
      <alignment horizontal="center" vertical="center"/>
    </xf>
    <xf numFmtId="3" fontId="8" fillId="0" borderId="12" xfId="2" applyNumberFormat="1" applyFont="1" applyBorder="1"/>
    <xf numFmtId="3" fontId="8" fillId="0" borderId="12" xfId="1" applyNumberFormat="1" applyFont="1" applyBorder="1"/>
    <xf numFmtId="0" fontId="7" fillId="3" borderId="14" xfId="1" applyFont="1" applyFill="1" applyBorder="1"/>
    <xf numFmtId="3" fontId="6" fillId="3" borderId="20" xfId="1" applyNumberFormat="1" applyFont="1" applyFill="1" applyBorder="1" applyAlignment="1">
      <alignment horizontal="right"/>
    </xf>
    <xf numFmtId="0" fontId="6" fillId="0" borderId="3" xfId="1" applyFont="1" applyBorder="1" applyAlignment="1">
      <alignment horizontal="center" vertical="center" wrapText="1"/>
    </xf>
    <xf numFmtId="49" fontId="5" fillId="2" borderId="8" xfId="1" applyNumberFormat="1" applyFont="1" applyFill="1" applyBorder="1"/>
    <xf numFmtId="49" fontId="8" fillId="0" borderId="13" xfId="1" applyNumberFormat="1" applyFont="1" applyBorder="1" applyAlignment="1">
      <alignment horizontal="left" indent="1"/>
    </xf>
    <xf numFmtId="49" fontId="8" fillId="0" borderId="11" xfId="1" applyNumberFormat="1" applyFont="1" applyBorder="1" applyAlignment="1">
      <alignment horizontal="left" indent="1"/>
    </xf>
    <xf numFmtId="49" fontId="7" fillId="3" borderId="14" xfId="1" applyNumberFormat="1" applyFont="1" applyFill="1" applyBorder="1" applyAlignment="1">
      <alignment horizontal="left"/>
    </xf>
    <xf numFmtId="49" fontId="0" fillId="0" borderId="0" xfId="0" applyNumberFormat="1"/>
    <xf numFmtId="49" fontId="6"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0" fontId="5" fillId="2" borderId="8" xfId="1" applyFont="1" applyFill="1" applyBorder="1" applyAlignment="1">
      <alignment vertical="center"/>
    </xf>
    <xf numFmtId="0" fontId="5" fillId="2" borderId="8" xfId="1" applyFont="1" applyFill="1" applyBorder="1" applyAlignment="1">
      <alignment vertical="top"/>
    </xf>
    <xf numFmtId="49" fontId="5" fillId="2" borderId="8" xfId="1" applyNumberFormat="1" applyFont="1" applyFill="1" applyBorder="1" applyAlignment="1">
      <alignment vertical="center"/>
    </xf>
    <xf numFmtId="0" fontId="6" fillId="0" borderId="18" xfId="1" applyFont="1" applyBorder="1" applyAlignment="1">
      <alignment horizontal="center" wrapText="1"/>
    </xf>
    <xf numFmtId="49" fontId="6" fillId="0" borderId="18" xfId="1" applyNumberFormat="1" applyFont="1" applyBorder="1" applyAlignment="1">
      <alignment horizontal="center" wrapText="1"/>
    </xf>
    <xf numFmtId="0" fontId="6" fillId="3" borderId="6" xfId="1" applyFont="1" applyFill="1" applyBorder="1" applyAlignment="1">
      <alignment horizontal="centerContinuous"/>
    </xf>
    <xf numFmtId="0" fontId="6" fillId="3" borderId="2" xfId="1" applyFont="1" applyFill="1" applyBorder="1" applyAlignment="1">
      <alignment horizontal="centerContinuous"/>
    </xf>
    <xf numFmtId="0" fontId="6" fillId="3" borderId="10" xfId="1" applyFont="1" applyFill="1" applyBorder="1" applyAlignment="1">
      <alignment horizontal="centerContinuous"/>
    </xf>
    <xf numFmtId="0" fontId="7" fillId="3" borderId="6" xfId="1" applyFont="1" applyFill="1" applyBorder="1" applyAlignment="1">
      <alignment horizontal="centerContinuous"/>
    </xf>
    <xf numFmtId="0" fontId="7" fillId="3" borderId="2" xfId="1" applyFont="1" applyFill="1" applyBorder="1" applyAlignment="1">
      <alignment horizontal="centerContinuous"/>
    </xf>
    <xf numFmtId="0" fontId="7" fillId="3" borderId="3" xfId="1" applyFont="1" applyFill="1" applyBorder="1" applyAlignment="1">
      <alignment horizontal="centerContinuous"/>
    </xf>
    <xf numFmtId="0" fontId="7" fillId="3" borderId="10" xfId="1" applyFont="1" applyFill="1" applyBorder="1" applyAlignment="1">
      <alignment horizontal="centerContinuous"/>
    </xf>
    <xf numFmtId="0" fontId="6" fillId="0" borderId="11" xfId="1" applyFont="1" applyBorder="1" applyAlignment="1">
      <alignment wrapText="1"/>
    </xf>
    <xf numFmtId="49" fontId="7" fillId="3" borderId="6" xfId="1" applyNumberFormat="1" applyFont="1" applyFill="1" applyBorder="1" applyAlignment="1">
      <alignment horizontal="centerContinuous"/>
    </xf>
    <xf numFmtId="49" fontId="7" fillId="3" borderId="2" xfId="1" applyNumberFormat="1" applyFont="1" applyFill="1" applyBorder="1" applyAlignment="1">
      <alignment horizontal="centerContinuous"/>
    </xf>
    <xf numFmtId="49" fontId="7" fillId="3" borderId="10" xfId="1" applyNumberFormat="1" applyFont="1" applyFill="1" applyBorder="1" applyAlignment="1">
      <alignment horizontal="centerContinuous"/>
    </xf>
    <xf numFmtId="49" fontId="7" fillId="3" borderId="3" xfId="1" applyNumberFormat="1" applyFont="1" applyFill="1" applyBorder="1" applyAlignment="1">
      <alignment horizontal="centerContinuous"/>
    </xf>
    <xf numFmtId="49" fontId="6" fillId="0" borderId="11" xfId="1" applyNumberFormat="1" applyFont="1" applyBorder="1" applyAlignment="1">
      <alignment wrapText="1"/>
    </xf>
    <xf numFmtId="3" fontId="8" fillId="3" borderId="21" xfId="1" applyNumberFormat="1" applyFont="1" applyFill="1" applyBorder="1" applyAlignment="1">
      <alignment horizontal="right"/>
    </xf>
    <xf numFmtId="3" fontId="8" fillId="3" borderId="22" xfId="1" applyNumberFormat="1" applyFont="1" applyFill="1" applyBorder="1" applyAlignment="1">
      <alignment horizontal="right"/>
    </xf>
    <xf numFmtId="3" fontId="8" fillId="3" borderId="23" xfId="1" applyNumberFormat="1" applyFont="1" applyFill="1" applyBorder="1" applyAlignment="1">
      <alignment horizontal="right"/>
    </xf>
    <xf numFmtId="0" fontId="5" fillId="2" borderId="24" xfId="1" applyFont="1" applyFill="1" applyBorder="1"/>
    <xf numFmtId="0" fontId="2" fillId="2" borderId="25" xfId="1" applyFont="1" applyFill="1" applyBorder="1"/>
    <xf numFmtId="0" fontId="2" fillId="2" borderId="26" xfId="1" applyFont="1" applyFill="1" applyBorder="1"/>
    <xf numFmtId="0" fontId="2" fillId="5" borderId="27" xfId="1" applyFont="1" applyFill="1" applyBorder="1"/>
    <xf numFmtId="0" fontId="6" fillId="3" borderId="28" xfId="1" applyFont="1" applyFill="1" applyBorder="1" applyAlignment="1">
      <alignment horizontal="centerContinuous"/>
    </xf>
    <xf numFmtId="0" fontId="6" fillId="3" borderId="29" xfId="1" applyFont="1" applyFill="1" applyBorder="1" applyAlignment="1">
      <alignment horizontal="centerContinuous"/>
    </xf>
    <xf numFmtId="0" fontId="6" fillId="3" borderId="30" xfId="1" applyFont="1" applyFill="1" applyBorder="1" applyAlignment="1">
      <alignment horizontal="centerContinuous"/>
    </xf>
    <xf numFmtId="0" fontId="8" fillId="0" borderId="13" xfId="1" applyFont="1" applyBorder="1" applyAlignment="1">
      <alignment horizontal="left"/>
    </xf>
    <xf numFmtId="0" fontId="7" fillId="3" borderId="14" xfId="1" applyFont="1" applyFill="1" applyBorder="1" applyAlignment="1">
      <alignment horizontal="left"/>
    </xf>
    <xf numFmtId="164" fontId="6" fillId="3" borderId="15" xfId="5" applyNumberFormat="1" applyFont="1" applyFill="1" applyBorder="1" applyAlignment="1">
      <alignment horizontal="right"/>
    </xf>
    <xf numFmtId="164" fontId="6" fillId="3" borderId="16" xfId="5" applyNumberFormat="1" applyFont="1" applyFill="1" applyBorder="1" applyAlignment="1">
      <alignment horizontal="right"/>
    </xf>
    <xf numFmtId="0" fontId="16" fillId="4" borderId="0" xfId="1" applyFont="1" applyFill="1"/>
    <xf numFmtId="49" fontId="17" fillId="4" borderId="0" xfId="1" quotePrefix="1" applyNumberFormat="1" applyFont="1" applyFill="1" applyAlignment="1">
      <alignment horizontal="left"/>
    </xf>
    <xf numFmtId="0" fontId="18" fillId="4" borderId="0" xfId="1" quotePrefix="1" applyFont="1" applyFill="1" applyAlignment="1">
      <alignment horizontal="left"/>
    </xf>
    <xf numFmtId="0" fontId="19" fillId="6" borderId="0" xfId="3" applyFont="1" applyFill="1" applyAlignment="1">
      <alignment horizontal="left"/>
    </xf>
    <xf numFmtId="0" fontId="17" fillId="4" borderId="0" xfId="3" applyFont="1" applyFill="1" applyAlignment="1">
      <alignment horizontal="left"/>
    </xf>
    <xf numFmtId="0" fontId="17" fillId="6" borderId="0" xfId="3" applyFont="1" applyFill="1" applyAlignment="1">
      <alignment horizontal="left"/>
    </xf>
    <xf numFmtId="0" fontId="16" fillId="4" borderId="0" xfId="1" applyFont="1" applyFill="1" applyAlignment="1">
      <alignment horizontal="left"/>
    </xf>
    <xf numFmtId="0" fontId="22" fillId="4" borderId="0" xfId="1" applyFont="1" applyFill="1" applyAlignment="1">
      <alignment horizontal="left"/>
    </xf>
    <xf numFmtId="0" fontId="17" fillId="4" borderId="0" xfId="1" applyFont="1" applyFill="1" applyAlignment="1">
      <alignment horizontal="left"/>
    </xf>
    <xf numFmtId="0" fontId="17" fillId="4" borderId="0" xfId="1" applyFont="1" applyFill="1" applyAlignment="1">
      <alignment horizontal="left" vertical="top"/>
    </xf>
    <xf numFmtId="0" fontId="22" fillId="4" borderId="0" xfId="1" applyFont="1" applyFill="1"/>
    <xf numFmtId="49" fontId="16" fillId="4" borderId="0" xfId="1" applyNumberFormat="1" applyFont="1" applyFill="1"/>
    <xf numFmtId="49" fontId="18" fillId="4" borderId="0" xfId="1" quotePrefix="1" applyNumberFormat="1" applyFont="1" applyFill="1" applyAlignment="1">
      <alignment horizontal="left"/>
    </xf>
    <xf numFmtId="49" fontId="17" fillId="4" borderId="0" xfId="1" applyNumberFormat="1" applyFont="1" applyFill="1" applyAlignment="1">
      <alignment horizontal="left"/>
    </xf>
    <xf numFmtId="49" fontId="16" fillId="4" borderId="0" xfId="1" applyNumberFormat="1" applyFont="1" applyFill="1" applyAlignment="1">
      <alignment horizontal="left"/>
    </xf>
    <xf numFmtId="49" fontId="22" fillId="4" borderId="0" xfId="1" applyNumberFormat="1" applyFont="1" applyFill="1" applyAlignment="1">
      <alignment horizontal="left"/>
    </xf>
    <xf numFmtId="49" fontId="22" fillId="4" borderId="0" xfId="1" applyNumberFormat="1" applyFont="1" applyFill="1"/>
    <xf numFmtId="164" fontId="0" fillId="0" borderId="0" xfId="0" applyNumberFormat="1"/>
    <xf numFmtId="0" fontId="7" fillId="3" borderId="11" xfId="1" applyFont="1" applyFill="1" applyBorder="1"/>
    <xf numFmtId="0" fontId="8" fillId="3" borderId="21" xfId="1" applyFont="1" applyFill="1" applyBorder="1"/>
    <xf numFmtId="0" fontId="8" fillId="3" borderId="22" xfId="1" applyFont="1" applyFill="1" applyBorder="1"/>
    <xf numFmtId="0" fontId="8" fillId="3" borderId="23" xfId="1" applyFont="1" applyFill="1" applyBorder="1"/>
    <xf numFmtId="0" fontId="8" fillId="3" borderId="31" xfId="1" applyFont="1" applyFill="1" applyBorder="1"/>
    <xf numFmtId="0" fontId="8" fillId="0" borderId="27" xfId="1" applyFont="1" applyBorder="1" applyAlignment="1">
      <alignment horizontal="left" indent="1"/>
    </xf>
    <xf numFmtId="164" fontId="8" fillId="0" borderId="32" xfId="5" applyNumberFormat="1" applyFont="1" applyBorder="1" applyAlignment="1">
      <alignment horizontal="right"/>
    </xf>
    <xf numFmtId="164" fontId="8" fillId="0" borderId="33" xfId="5" applyNumberFormat="1" applyFont="1" applyBorder="1" applyAlignment="1">
      <alignment horizontal="right"/>
    </xf>
  </cellXfs>
  <cellStyles count="6">
    <cellStyle name="Comma" xfId="5" builtinId="3"/>
    <cellStyle name="Comma 2" xfId="2" xr:uid="{05F57951-93C1-46CE-A02D-B4B51DE9C5AF}"/>
    <cellStyle name="Normal" xfId="0" builtinId="0"/>
    <cellStyle name="Normal 2 2" xfId="1" xr:uid="{FD50BBD0-C980-4568-88CD-D9A40E9FC0F0}"/>
    <cellStyle name="Normal 2 3" xfId="3" xr:uid="{21C68A8E-BFBD-4164-8F73-9EF05C224818}"/>
    <cellStyle name="Normal 4" xfId="4" xr:uid="{9E88BD73-8AFE-467B-956C-F0E8810F0A20}"/>
  </cellStyles>
  <dxfs count="0"/>
  <tableStyles count="0" defaultTableStyle="TableStyleMedium2" defaultPivotStyle="PivotStyleLight16"/>
  <colors>
    <mruColors>
      <color rgb="FFFF999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1263650</xdr:colOff>
      <xdr:row>0</xdr:row>
      <xdr:rowOff>57150</xdr:rowOff>
    </xdr:from>
    <xdr:to>
      <xdr:col>6</xdr:col>
      <xdr:colOff>1638300</xdr:colOff>
      <xdr:row>2</xdr:row>
      <xdr:rowOff>196850</xdr:rowOff>
    </xdr:to>
    <xdr:pic>
      <xdr:nvPicPr>
        <xdr:cNvPr id="2" name="Picture 1" descr="U.S. Department of Homeland Security Seal, U.S Citizenship and Immigration Services Logo">
          <a:extLst>
            <a:ext uri="{FF2B5EF4-FFF2-40B4-BE49-F238E27FC236}">
              <a16:creationId xmlns:a16="http://schemas.microsoft.com/office/drawing/2014/main" id="{5437304F-6CA8-4CDC-B758-CF4E494DE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1900" y="57150"/>
          <a:ext cx="2079625" cy="63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1301750</xdr:colOff>
      <xdr:row>0</xdr:row>
      <xdr:rowOff>44450</xdr:rowOff>
    </xdr:from>
    <xdr:to>
      <xdr:col>6</xdr:col>
      <xdr:colOff>1676400</xdr:colOff>
      <xdr:row>2</xdr:row>
      <xdr:rowOff>177800</xdr:rowOff>
    </xdr:to>
    <xdr:pic>
      <xdr:nvPicPr>
        <xdr:cNvPr id="2" name="Picture 1" descr="U.S. Department of Homeland Security Seal, U.S Citizenship and Immigration Services Logo">
          <a:extLst>
            <a:ext uri="{FF2B5EF4-FFF2-40B4-BE49-F238E27FC236}">
              <a16:creationId xmlns:a16="http://schemas.microsoft.com/office/drawing/2014/main" id="{4EA7D937-795F-419E-865B-EF786B7C7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6750" y="44450"/>
          <a:ext cx="207962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609600</xdr:colOff>
      <xdr:row>0</xdr:row>
      <xdr:rowOff>25400</xdr:rowOff>
    </xdr:from>
    <xdr:to>
      <xdr:col>6</xdr:col>
      <xdr:colOff>838200</xdr:colOff>
      <xdr:row>2</xdr:row>
      <xdr:rowOff>161925</xdr:rowOff>
    </xdr:to>
    <xdr:pic>
      <xdr:nvPicPr>
        <xdr:cNvPr id="2" name="Picture 1" descr="U.S. Department of Homeland Security Seal, U.S Citizenship and Immigration Services Logo">
          <a:extLst>
            <a:ext uri="{FF2B5EF4-FFF2-40B4-BE49-F238E27FC236}">
              <a16:creationId xmlns:a16="http://schemas.microsoft.com/office/drawing/2014/main" id="{09AF6FDC-36F5-403E-80D8-DAA6C8F6D1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9850" y="25400"/>
          <a:ext cx="2076450" cy="63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641350</xdr:colOff>
      <xdr:row>0</xdr:row>
      <xdr:rowOff>44450</xdr:rowOff>
    </xdr:from>
    <xdr:to>
      <xdr:col>6</xdr:col>
      <xdr:colOff>866775</xdr:colOff>
      <xdr:row>2</xdr:row>
      <xdr:rowOff>180975</xdr:rowOff>
    </xdr:to>
    <xdr:pic>
      <xdr:nvPicPr>
        <xdr:cNvPr id="2" name="Picture 1" descr="U.S. Department of Homeland Security Seal, U.S Citizenship and Immigration Services Logo">
          <a:extLst>
            <a:ext uri="{FF2B5EF4-FFF2-40B4-BE49-F238E27FC236}">
              <a16:creationId xmlns:a16="http://schemas.microsoft.com/office/drawing/2014/main" id="{97ABBBC7-D26D-4DF7-A6FA-BFC3E7F99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8300" y="44450"/>
          <a:ext cx="2073275" cy="63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5804-E654-4CAD-9D0A-51D544FCA8D8}">
  <sheetPr>
    <tabColor rgb="FF003366"/>
    <pageSetUpPr fitToPage="1"/>
  </sheetPr>
  <dimension ref="A1:I68"/>
  <sheetViews>
    <sheetView showGridLines="0" tabSelected="1" zoomScaleNormal="100" zoomScaleSheetLayoutView="100" workbookViewId="0"/>
  </sheetViews>
  <sheetFormatPr defaultColWidth="9.08984375" defaultRowHeight="14.5" x14ac:dyDescent="0.35"/>
  <cols>
    <col min="1" max="1" width="30.54296875" style="4" customWidth="1"/>
    <col min="2" max="7" width="25.54296875" style="4" customWidth="1"/>
    <col min="8" max="8" width="9.08984375" style="1"/>
    <col min="9" max="9" width="9.08984375" style="2"/>
    <col min="10" max="16384" width="9.08984375" style="1"/>
  </cols>
  <sheetData>
    <row r="1" spans="1:7" ht="20.149999999999999" customHeight="1" x14ac:dyDescent="0.35">
      <c r="A1" s="33" t="s">
        <v>116</v>
      </c>
      <c r="B1" s="3"/>
      <c r="C1" s="3"/>
      <c r="D1" s="3"/>
      <c r="E1" s="3"/>
      <c r="F1" s="3"/>
      <c r="G1" s="34"/>
    </row>
    <row r="2" spans="1:7" ht="20.149999999999999" customHeight="1" x14ac:dyDescent="0.35">
      <c r="A2" s="72" t="s">
        <v>82</v>
      </c>
      <c r="B2" s="3"/>
      <c r="C2" s="3"/>
      <c r="D2" s="3"/>
      <c r="E2" s="3"/>
      <c r="F2" s="3"/>
      <c r="G2" s="34"/>
    </row>
    <row r="3" spans="1:7" ht="20.149999999999999" customHeight="1" x14ac:dyDescent="0.35">
      <c r="A3" s="73" t="s">
        <v>168</v>
      </c>
      <c r="B3" s="3"/>
      <c r="C3" s="3"/>
      <c r="D3" s="3"/>
      <c r="E3" s="3"/>
      <c r="F3" s="3"/>
      <c r="G3" s="34"/>
    </row>
    <row r="4" spans="1:7" ht="15" customHeight="1" x14ac:dyDescent="0.35">
      <c r="A4" s="35"/>
      <c r="B4" s="77" t="s">
        <v>83</v>
      </c>
      <c r="C4" s="78"/>
      <c r="D4" s="78"/>
      <c r="E4" s="78"/>
      <c r="F4" s="78"/>
      <c r="G4" s="79"/>
    </row>
    <row r="5" spans="1:7" x14ac:dyDescent="0.35">
      <c r="A5" s="36" t="s">
        <v>84</v>
      </c>
      <c r="B5" s="53" t="s">
        <v>117</v>
      </c>
      <c r="C5" s="54" t="s">
        <v>118</v>
      </c>
      <c r="D5" s="54" t="s">
        <v>119</v>
      </c>
      <c r="E5" s="54" t="s">
        <v>120</v>
      </c>
      <c r="F5" s="55" t="s">
        <v>121</v>
      </c>
      <c r="G5" s="56" t="s">
        <v>122</v>
      </c>
    </row>
    <row r="6" spans="1:7" ht="14.4" customHeight="1" thickBot="1" x14ac:dyDescent="0.4">
      <c r="A6" s="122" t="s">
        <v>85</v>
      </c>
      <c r="B6" s="123"/>
      <c r="C6" s="124"/>
      <c r="D6" s="125"/>
      <c r="E6" s="123"/>
      <c r="F6" s="124"/>
      <c r="G6" s="126"/>
    </row>
    <row r="7" spans="1:7" ht="14.4" customHeight="1" x14ac:dyDescent="0.35">
      <c r="A7" s="127" t="s">
        <v>86</v>
      </c>
      <c r="B7" s="128">
        <v>152430</v>
      </c>
      <c r="C7" s="128">
        <v>5396</v>
      </c>
      <c r="D7" s="128">
        <v>157826</v>
      </c>
      <c r="E7" s="128">
        <v>1684</v>
      </c>
      <c r="F7" s="128">
        <v>0</v>
      </c>
      <c r="G7" s="129">
        <v>150746</v>
      </c>
    </row>
    <row r="8" spans="1:7" ht="14.4" customHeight="1" x14ac:dyDescent="0.35">
      <c r="A8" s="44" t="s">
        <v>87</v>
      </c>
      <c r="B8" s="29">
        <v>427612</v>
      </c>
      <c r="C8" s="29">
        <v>16355</v>
      </c>
      <c r="D8" s="29">
        <v>443967</v>
      </c>
      <c r="E8" s="29">
        <v>470596</v>
      </c>
      <c r="F8" s="29">
        <v>11019</v>
      </c>
      <c r="G8" s="40">
        <v>96730</v>
      </c>
    </row>
    <row r="9" spans="1:7" ht="14.4" customHeight="1" x14ac:dyDescent="0.35">
      <c r="A9" s="41">
        <v>2014</v>
      </c>
      <c r="B9" s="31">
        <v>238898</v>
      </c>
      <c r="C9" s="31">
        <v>24889</v>
      </c>
      <c r="D9" s="31">
        <v>263787</v>
      </c>
      <c r="E9" s="31">
        <v>158154</v>
      </c>
      <c r="F9" s="31">
        <v>21069</v>
      </c>
      <c r="G9" s="42">
        <v>156343</v>
      </c>
    </row>
    <row r="10" spans="1:7" ht="14.4" customHeight="1" x14ac:dyDescent="0.35">
      <c r="A10" s="43" t="s">
        <v>124</v>
      </c>
      <c r="B10" s="30">
        <v>122474</v>
      </c>
      <c r="C10" s="30">
        <v>19064</v>
      </c>
      <c r="D10" s="30">
        <v>141538</v>
      </c>
      <c r="E10" s="29">
        <v>135920</v>
      </c>
      <c r="F10" s="29">
        <v>21066</v>
      </c>
      <c r="G10" s="40">
        <v>62158</v>
      </c>
    </row>
    <row r="11" spans="1:7" ht="14.4" customHeight="1" x14ac:dyDescent="0.35">
      <c r="A11" s="43" t="s">
        <v>125</v>
      </c>
      <c r="B11" s="30">
        <v>116424</v>
      </c>
      <c r="C11" s="30">
        <v>5825</v>
      </c>
      <c r="D11" s="30">
        <v>122249</v>
      </c>
      <c r="E11" s="29">
        <v>22234</v>
      </c>
      <c r="F11" s="29">
        <v>3</v>
      </c>
      <c r="G11" s="40">
        <v>94185</v>
      </c>
    </row>
    <row r="12" spans="1:7" ht="14.4" customHeight="1" x14ac:dyDescent="0.35">
      <c r="A12" s="41">
        <v>2015</v>
      </c>
      <c r="B12" s="31">
        <v>448846</v>
      </c>
      <c r="C12" s="31">
        <v>35502</v>
      </c>
      <c r="D12" s="31">
        <v>484348</v>
      </c>
      <c r="E12" s="31">
        <v>510329</v>
      </c>
      <c r="F12" s="31">
        <v>21437</v>
      </c>
      <c r="G12" s="42">
        <v>73325</v>
      </c>
    </row>
    <row r="13" spans="1:7" ht="14.4" customHeight="1" x14ac:dyDescent="0.35">
      <c r="A13" s="44" t="s">
        <v>126</v>
      </c>
      <c r="B13" s="29">
        <v>85300</v>
      </c>
      <c r="C13" s="29">
        <v>7170</v>
      </c>
      <c r="D13" s="29">
        <v>92470</v>
      </c>
      <c r="E13" s="29">
        <v>90827</v>
      </c>
      <c r="F13" s="29">
        <v>19087</v>
      </c>
      <c r="G13" s="40">
        <v>37472</v>
      </c>
    </row>
    <row r="14" spans="1:7" ht="14.4" customHeight="1" x14ac:dyDescent="0.35">
      <c r="A14" s="44" t="s">
        <v>127</v>
      </c>
      <c r="B14" s="29">
        <v>363546</v>
      </c>
      <c r="C14" s="29">
        <v>28332</v>
      </c>
      <c r="D14" s="29">
        <v>391878</v>
      </c>
      <c r="E14" s="29">
        <v>419502</v>
      </c>
      <c r="F14" s="29">
        <v>2350</v>
      </c>
      <c r="G14" s="40">
        <v>35853</v>
      </c>
    </row>
    <row r="15" spans="1:7" ht="14.4" customHeight="1" x14ac:dyDescent="0.35">
      <c r="A15" s="41">
        <v>2016</v>
      </c>
      <c r="B15" s="31">
        <v>260701</v>
      </c>
      <c r="C15" s="31">
        <v>12317</v>
      </c>
      <c r="D15" s="31">
        <v>273018</v>
      </c>
      <c r="E15" s="31">
        <v>198809</v>
      </c>
      <c r="F15" s="31">
        <v>14551</v>
      </c>
      <c r="G15" s="42">
        <v>119790</v>
      </c>
    </row>
    <row r="16" spans="1:7" ht="14.4" customHeight="1" x14ac:dyDescent="0.35">
      <c r="A16" s="44" t="s">
        <v>128</v>
      </c>
      <c r="B16" s="29">
        <v>73347</v>
      </c>
      <c r="C16" s="29">
        <v>1151</v>
      </c>
      <c r="D16" s="29">
        <v>74498</v>
      </c>
      <c r="E16" s="29">
        <v>52990</v>
      </c>
      <c r="F16" s="29">
        <v>11525</v>
      </c>
      <c r="G16" s="40">
        <v>45455</v>
      </c>
    </row>
    <row r="17" spans="1:7" ht="14.4" customHeight="1" x14ac:dyDescent="0.35">
      <c r="A17" s="44" t="s">
        <v>129</v>
      </c>
      <c r="B17" s="29">
        <v>187354</v>
      </c>
      <c r="C17" s="29">
        <v>11166</v>
      </c>
      <c r="D17" s="29">
        <v>198520</v>
      </c>
      <c r="E17" s="29">
        <v>145819</v>
      </c>
      <c r="F17" s="29">
        <v>3026</v>
      </c>
      <c r="G17" s="40">
        <v>74335</v>
      </c>
    </row>
    <row r="18" spans="1:7" ht="14.4" customHeight="1" x14ac:dyDescent="0.35">
      <c r="A18" s="41">
        <v>2017</v>
      </c>
      <c r="B18" s="31">
        <v>472850</v>
      </c>
      <c r="C18" s="31">
        <v>43455</v>
      </c>
      <c r="D18" s="31">
        <v>516305</v>
      </c>
      <c r="E18" s="31">
        <v>461908</v>
      </c>
      <c r="F18" s="31">
        <v>13190</v>
      </c>
      <c r="G18" s="42">
        <v>117454</v>
      </c>
    </row>
    <row r="19" spans="1:7" ht="14.4" customHeight="1" x14ac:dyDescent="0.35">
      <c r="A19" s="44" t="s">
        <v>130</v>
      </c>
      <c r="B19" s="29">
        <v>45593</v>
      </c>
      <c r="C19" s="29">
        <v>44</v>
      </c>
      <c r="D19" s="29">
        <v>45637</v>
      </c>
      <c r="E19" s="29">
        <v>47132</v>
      </c>
      <c r="F19" s="29">
        <v>9161</v>
      </c>
      <c r="G19" s="40">
        <v>34702</v>
      </c>
    </row>
    <row r="20" spans="1:7" ht="14.4" customHeight="1" x14ac:dyDescent="0.35">
      <c r="A20" s="44" t="s">
        <v>131</v>
      </c>
      <c r="B20" s="29">
        <v>427257</v>
      </c>
      <c r="C20" s="29">
        <v>43411</v>
      </c>
      <c r="D20" s="29">
        <v>470668</v>
      </c>
      <c r="E20" s="29">
        <v>414776</v>
      </c>
      <c r="F20" s="29">
        <v>4029</v>
      </c>
      <c r="G20" s="40">
        <v>82752</v>
      </c>
    </row>
    <row r="21" spans="1:7" ht="14.4" customHeight="1" x14ac:dyDescent="0.35">
      <c r="A21" s="41">
        <v>2018</v>
      </c>
      <c r="B21" s="31">
        <v>260120</v>
      </c>
      <c r="C21" s="31">
        <v>29651</v>
      </c>
      <c r="D21" s="31">
        <v>289771</v>
      </c>
      <c r="E21" s="31">
        <v>319340</v>
      </c>
      <c r="F21" s="31">
        <v>12533</v>
      </c>
      <c r="G21" s="42">
        <v>45666</v>
      </c>
    </row>
    <row r="22" spans="1:7" ht="14.4" customHeight="1" x14ac:dyDescent="0.35">
      <c r="A22" s="44" t="s">
        <v>132</v>
      </c>
      <c r="B22" s="29">
        <v>2060</v>
      </c>
      <c r="C22" s="29">
        <v>2</v>
      </c>
      <c r="D22" s="29">
        <v>2062</v>
      </c>
      <c r="E22" s="29">
        <v>24381</v>
      </c>
      <c r="F22" s="29">
        <v>8248</v>
      </c>
      <c r="G22" s="40">
        <v>4121</v>
      </c>
    </row>
    <row r="23" spans="1:7" ht="14.4" customHeight="1" x14ac:dyDescent="0.35">
      <c r="A23" s="44" t="s">
        <v>133</v>
      </c>
      <c r="B23" s="29">
        <v>258060</v>
      </c>
      <c r="C23" s="29">
        <v>29649</v>
      </c>
      <c r="D23" s="29">
        <v>287709</v>
      </c>
      <c r="E23" s="29">
        <v>294959</v>
      </c>
      <c r="F23" s="29">
        <v>4285</v>
      </c>
      <c r="G23" s="40">
        <v>41545</v>
      </c>
    </row>
    <row r="24" spans="1:7" ht="14.4" customHeight="1" x14ac:dyDescent="0.35">
      <c r="A24" s="41">
        <v>2019</v>
      </c>
      <c r="B24" s="31">
        <v>386156</v>
      </c>
      <c r="C24" s="31">
        <v>22006</v>
      </c>
      <c r="D24" s="31">
        <v>408162</v>
      </c>
      <c r="E24" s="31">
        <v>387437</v>
      </c>
      <c r="F24" s="31">
        <v>4944</v>
      </c>
      <c r="G24" s="42">
        <v>39410</v>
      </c>
    </row>
    <row r="25" spans="1:7" ht="14.4" customHeight="1" x14ac:dyDescent="0.35">
      <c r="A25" s="44" t="s">
        <v>134</v>
      </c>
      <c r="B25" s="29">
        <v>1570</v>
      </c>
      <c r="C25" s="29">
        <v>4</v>
      </c>
      <c r="D25" s="29">
        <v>1574</v>
      </c>
      <c r="E25" s="29">
        <v>1774</v>
      </c>
      <c r="F25" s="29">
        <v>1602</v>
      </c>
      <c r="G25" s="40">
        <v>2309</v>
      </c>
    </row>
    <row r="26" spans="1:7" ht="14.4" customHeight="1" x14ac:dyDescent="0.35">
      <c r="A26" s="44" t="s">
        <v>135</v>
      </c>
      <c r="B26" s="29">
        <v>384586</v>
      </c>
      <c r="C26" s="29">
        <v>22002</v>
      </c>
      <c r="D26" s="29">
        <v>406588</v>
      </c>
      <c r="E26" s="29">
        <v>385663</v>
      </c>
      <c r="F26" s="29">
        <v>3342</v>
      </c>
      <c r="G26" s="40">
        <v>37101</v>
      </c>
    </row>
    <row r="27" spans="1:7" ht="14.4" customHeight="1" x14ac:dyDescent="0.35">
      <c r="A27" s="41">
        <v>2020</v>
      </c>
      <c r="B27" s="31">
        <v>313939</v>
      </c>
      <c r="C27" s="31">
        <v>29994</v>
      </c>
      <c r="D27" s="31">
        <v>343933</v>
      </c>
      <c r="E27" s="31">
        <v>294655</v>
      </c>
      <c r="F27" s="31">
        <v>3998</v>
      </c>
      <c r="G27" s="42">
        <v>54679</v>
      </c>
    </row>
    <row r="28" spans="1:7" ht="14.4" customHeight="1" x14ac:dyDescent="0.35">
      <c r="A28" s="44" t="s">
        <v>136</v>
      </c>
      <c r="B28" s="29">
        <v>4289</v>
      </c>
      <c r="C28" s="29">
        <v>6</v>
      </c>
      <c r="D28" s="29">
        <v>4295</v>
      </c>
      <c r="E28" s="29">
        <v>1792</v>
      </c>
      <c r="F28" s="29">
        <v>715</v>
      </c>
      <c r="G28" s="40">
        <v>4086</v>
      </c>
    </row>
    <row r="29" spans="1:7" ht="14.4" customHeight="1" x14ac:dyDescent="0.35">
      <c r="A29" s="44" t="s">
        <v>137</v>
      </c>
      <c r="B29" s="29">
        <v>309650</v>
      </c>
      <c r="C29" s="29">
        <v>29988</v>
      </c>
      <c r="D29" s="29">
        <v>339638</v>
      </c>
      <c r="E29" s="29">
        <v>292863</v>
      </c>
      <c r="F29" s="29">
        <v>3283</v>
      </c>
      <c r="G29" s="40">
        <v>50593</v>
      </c>
    </row>
    <row r="30" spans="1:7" ht="14.4" customHeight="1" x14ac:dyDescent="0.35">
      <c r="A30" s="41">
        <v>2021</v>
      </c>
      <c r="B30" s="31">
        <v>438936</v>
      </c>
      <c r="C30" s="31">
        <v>31700</v>
      </c>
      <c r="D30" s="31">
        <v>470636</v>
      </c>
      <c r="E30" s="31">
        <v>359206</v>
      </c>
      <c r="F30" s="31">
        <v>3799</v>
      </c>
      <c r="G30" s="42">
        <v>130597</v>
      </c>
    </row>
    <row r="31" spans="1:7" ht="14.4" customHeight="1" x14ac:dyDescent="0.35">
      <c r="A31" s="44" t="s">
        <v>138</v>
      </c>
      <c r="B31" s="29">
        <v>94216</v>
      </c>
      <c r="C31" s="29">
        <v>109</v>
      </c>
      <c r="D31" s="29">
        <v>94325</v>
      </c>
      <c r="E31" s="29">
        <v>7992</v>
      </c>
      <c r="F31" s="29">
        <v>1122</v>
      </c>
      <c r="G31" s="40">
        <v>89187</v>
      </c>
    </row>
    <row r="32" spans="1:7" ht="14.4" customHeight="1" x14ac:dyDescent="0.35">
      <c r="A32" s="44" t="s">
        <v>139</v>
      </c>
      <c r="B32" s="29">
        <v>344720</v>
      </c>
      <c r="C32" s="29">
        <v>31591</v>
      </c>
      <c r="D32" s="29">
        <v>376311</v>
      </c>
      <c r="E32" s="29">
        <v>351214</v>
      </c>
      <c r="F32" s="29">
        <v>2677</v>
      </c>
      <c r="G32" s="40">
        <v>41410</v>
      </c>
    </row>
    <row r="33" spans="1:7" ht="14.4" customHeight="1" x14ac:dyDescent="0.35">
      <c r="A33" s="41">
        <v>2022</v>
      </c>
      <c r="B33" s="31">
        <v>286162</v>
      </c>
      <c r="C33" s="31">
        <v>18249</v>
      </c>
      <c r="D33" s="31">
        <v>304411</v>
      </c>
      <c r="E33" s="31">
        <v>295361</v>
      </c>
      <c r="F33" s="31">
        <v>2551</v>
      </c>
      <c r="G33" s="42">
        <v>118767</v>
      </c>
    </row>
    <row r="34" spans="1:7" ht="14.4" customHeight="1" x14ac:dyDescent="0.35">
      <c r="A34" s="44" t="s">
        <v>140</v>
      </c>
      <c r="B34" s="29">
        <v>5459</v>
      </c>
      <c r="C34" s="29">
        <v>22</v>
      </c>
      <c r="D34" s="29">
        <v>5481</v>
      </c>
      <c r="E34" s="29">
        <v>2</v>
      </c>
      <c r="F34" s="29">
        <v>5</v>
      </c>
      <c r="G34" s="40">
        <v>94634</v>
      </c>
    </row>
    <row r="35" spans="1:7" ht="14.4" customHeight="1" x14ac:dyDescent="0.35">
      <c r="A35" s="44" t="s">
        <v>141</v>
      </c>
      <c r="B35" s="29">
        <v>280703</v>
      </c>
      <c r="C35" s="29">
        <v>18227</v>
      </c>
      <c r="D35" s="29">
        <v>298930</v>
      </c>
      <c r="E35" s="29">
        <v>295359</v>
      </c>
      <c r="F35" s="29">
        <v>2546</v>
      </c>
      <c r="G35" s="40">
        <v>24133</v>
      </c>
    </row>
    <row r="36" spans="1:7" ht="14.4" customHeight="1" x14ac:dyDescent="0.35">
      <c r="A36" s="41">
        <v>2023</v>
      </c>
      <c r="B36" s="31">
        <v>333384</v>
      </c>
      <c r="C36" s="31">
        <v>14004</v>
      </c>
      <c r="D36" s="31">
        <v>347388</v>
      </c>
      <c r="E36" s="31">
        <v>304275</v>
      </c>
      <c r="F36" s="31">
        <v>1721</v>
      </c>
      <c r="G36" s="42">
        <v>146086</v>
      </c>
    </row>
    <row r="37" spans="1:7" ht="14.4" customHeight="1" x14ac:dyDescent="0.35">
      <c r="A37" s="44" t="s">
        <v>142</v>
      </c>
      <c r="B37" s="29">
        <v>3415</v>
      </c>
      <c r="C37" s="29">
        <v>22</v>
      </c>
      <c r="D37" s="29">
        <v>3437</v>
      </c>
      <c r="E37" s="29">
        <v>2</v>
      </c>
      <c r="F37" s="29">
        <v>8</v>
      </c>
      <c r="G37" s="40">
        <v>97985</v>
      </c>
    </row>
    <row r="38" spans="1:7" ht="14.4" customHeight="1" x14ac:dyDescent="0.35">
      <c r="A38" s="44" t="s">
        <v>143</v>
      </c>
      <c r="B38" s="29">
        <v>329969</v>
      </c>
      <c r="C38" s="29">
        <v>13982</v>
      </c>
      <c r="D38" s="29">
        <v>343951</v>
      </c>
      <c r="E38" s="29">
        <v>304273</v>
      </c>
      <c r="F38" s="29">
        <v>1713</v>
      </c>
      <c r="G38" s="40">
        <v>48101</v>
      </c>
    </row>
    <row r="39" spans="1:7" ht="14.4" customHeight="1" x14ac:dyDescent="0.35">
      <c r="A39" s="41">
        <v>2024</v>
      </c>
      <c r="B39" s="31">
        <v>264528</v>
      </c>
      <c r="C39" s="31">
        <v>15871</v>
      </c>
      <c r="D39" s="31">
        <v>280399</v>
      </c>
      <c r="E39" s="31">
        <v>289529</v>
      </c>
      <c r="F39" s="31">
        <v>1843</v>
      </c>
      <c r="G39" s="42">
        <v>119234</v>
      </c>
    </row>
    <row r="40" spans="1:7" ht="14.4" customHeight="1" x14ac:dyDescent="0.35">
      <c r="A40" s="44" t="s">
        <v>144</v>
      </c>
      <c r="B40" s="29">
        <v>2354</v>
      </c>
      <c r="C40" s="29">
        <v>8</v>
      </c>
      <c r="D40" s="29">
        <v>2362</v>
      </c>
      <c r="E40" s="29">
        <v>0</v>
      </c>
      <c r="F40" s="29">
        <v>0</v>
      </c>
      <c r="G40" s="40">
        <v>100338</v>
      </c>
    </row>
    <row r="41" spans="1:7" ht="14.4" customHeight="1" x14ac:dyDescent="0.35">
      <c r="A41" s="44" t="s">
        <v>145</v>
      </c>
      <c r="B41" s="29">
        <v>262174</v>
      </c>
      <c r="C41" s="29">
        <v>15863</v>
      </c>
      <c r="D41" s="29">
        <v>278037</v>
      </c>
      <c r="E41" s="29">
        <v>289529</v>
      </c>
      <c r="F41" s="29">
        <v>1843</v>
      </c>
      <c r="G41" s="40">
        <v>18896</v>
      </c>
    </row>
    <row r="42" spans="1:7" ht="14.4" customHeight="1" x14ac:dyDescent="0.35">
      <c r="A42" s="41">
        <v>2025</v>
      </c>
      <c r="B42" s="31">
        <v>298636</v>
      </c>
      <c r="C42" s="31">
        <v>14123</v>
      </c>
      <c r="D42" s="31">
        <v>312759</v>
      </c>
      <c r="E42" s="31">
        <v>285561</v>
      </c>
      <c r="F42" s="31">
        <v>2108</v>
      </c>
      <c r="G42" s="42">
        <v>130197</v>
      </c>
    </row>
    <row r="43" spans="1:7" ht="14.4" customHeight="1" x14ac:dyDescent="0.35">
      <c r="A43" s="44" t="s">
        <v>146</v>
      </c>
      <c r="B43" s="29">
        <v>2475</v>
      </c>
      <c r="C43" s="29">
        <v>16</v>
      </c>
      <c r="D43" s="29">
        <v>2491</v>
      </c>
      <c r="E43" s="29">
        <v>1</v>
      </c>
      <c r="F43" s="29">
        <v>3</v>
      </c>
      <c r="G43" s="40">
        <v>102808</v>
      </c>
    </row>
    <row r="44" spans="1:7" ht="14.4" customHeight="1" x14ac:dyDescent="0.35">
      <c r="A44" s="44" t="s">
        <v>147</v>
      </c>
      <c r="B44" s="29">
        <v>296161</v>
      </c>
      <c r="C44" s="29">
        <v>14107</v>
      </c>
      <c r="D44" s="29">
        <v>310268</v>
      </c>
      <c r="E44" s="29">
        <v>285560</v>
      </c>
      <c r="F44" s="29">
        <v>2105</v>
      </c>
      <c r="G44" s="40">
        <v>27389</v>
      </c>
    </row>
    <row r="45" spans="1:7" ht="14.4" customHeight="1" x14ac:dyDescent="0.35">
      <c r="A45" s="41">
        <v>2026</v>
      </c>
      <c r="B45" s="31">
        <v>63303</v>
      </c>
      <c r="C45" s="31">
        <v>3737</v>
      </c>
      <c r="D45" s="31">
        <v>67040</v>
      </c>
      <c r="E45" s="31">
        <v>35648</v>
      </c>
      <c r="F45" s="31">
        <v>613</v>
      </c>
      <c r="G45" s="42">
        <v>157238</v>
      </c>
    </row>
    <row r="46" spans="1:7" ht="14.4" customHeight="1" x14ac:dyDescent="0.35">
      <c r="A46" s="44" t="s">
        <v>170</v>
      </c>
      <c r="B46" s="29">
        <v>321</v>
      </c>
      <c r="C46" s="29">
        <v>1</v>
      </c>
      <c r="D46" s="29">
        <v>322</v>
      </c>
      <c r="E46" s="29">
        <v>0</v>
      </c>
      <c r="F46" s="29">
        <v>1</v>
      </c>
      <c r="G46" s="40">
        <v>103128</v>
      </c>
    </row>
    <row r="47" spans="1:7" ht="14.4" customHeight="1" x14ac:dyDescent="0.35">
      <c r="A47" s="44" t="s">
        <v>171</v>
      </c>
      <c r="B47" s="29">
        <v>62982</v>
      </c>
      <c r="C47" s="29">
        <v>3736</v>
      </c>
      <c r="D47" s="29">
        <v>66718</v>
      </c>
      <c r="E47" s="29">
        <v>35648</v>
      </c>
      <c r="F47" s="29">
        <v>612</v>
      </c>
      <c r="G47" s="40">
        <v>54110</v>
      </c>
    </row>
    <row r="48" spans="1:7" ht="14.4" customHeight="1" x14ac:dyDescent="0.35">
      <c r="A48" s="41" t="s">
        <v>0</v>
      </c>
      <c r="B48" s="31">
        <v>4646501</v>
      </c>
      <c r="C48" s="31">
        <v>317249</v>
      </c>
      <c r="D48" s="31">
        <v>4963750</v>
      </c>
      <c r="E48" s="31">
        <v>4372492</v>
      </c>
      <c r="F48" s="31">
        <v>115376</v>
      </c>
      <c r="G48" s="42">
        <v>157238</v>
      </c>
    </row>
    <row r="49" spans="1:7" s="4" customFormat="1" ht="14.4" customHeight="1" x14ac:dyDescent="0.3">
      <c r="A49" s="44" t="s">
        <v>148</v>
      </c>
      <c r="B49" s="29">
        <v>1022915</v>
      </c>
      <c r="C49" s="29">
        <v>49370</v>
      </c>
      <c r="D49" s="29">
        <v>1072285</v>
      </c>
      <c r="E49" s="29">
        <v>835093</v>
      </c>
      <c r="F49" s="29">
        <v>83562</v>
      </c>
      <c r="G49" s="40">
        <v>103128</v>
      </c>
    </row>
    <row r="50" spans="1:7" s="4" customFormat="1" ht="14.4" customHeight="1" thickBot="1" x14ac:dyDescent="0.35">
      <c r="A50" s="45" t="s">
        <v>149</v>
      </c>
      <c r="B50" s="46">
        <v>3623586</v>
      </c>
      <c r="C50" s="46">
        <v>267879</v>
      </c>
      <c r="D50" s="46">
        <v>3891465</v>
      </c>
      <c r="E50" s="46">
        <v>3537399</v>
      </c>
      <c r="F50" s="46">
        <v>31814</v>
      </c>
      <c r="G50" s="47">
        <v>54110</v>
      </c>
    </row>
    <row r="51" spans="1:7" s="4" customFormat="1" ht="29.15" customHeight="1" x14ac:dyDescent="0.3">
      <c r="A51" s="104" t="s">
        <v>89</v>
      </c>
      <c r="B51" s="25"/>
      <c r="C51" s="25"/>
      <c r="D51" s="25"/>
      <c r="E51" s="25"/>
      <c r="F51" s="25"/>
      <c r="G51" s="25"/>
    </row>
    <row r="52" spans="1:7" x14ac:dyDescent="0.35">
      <c r="A52" s="105" t="s">
        <v>90</v>
      </c>
      <c r="B52" s="8"/>
      <c r="C52" s="8"/>
      <c r="D52" s="10"/>
      <c r="E52" s="11"/>
      <c r="F52" s="10"/>
      <c r="G52" s="10"/>
    </row>
    <row r="53" spans="1:7" ht="29.15" customHeight="1" x14ac:dyDescent="0.35">
      <c r="A53" s="106" t="s">
        <v>91</v>
      </c>
      <c r="B53" s="8"/>
      <c r="C53" s="8"/>
      <c r="D53" s="10"/>
      <c r="E53" s="11"/>
      <c r="F53" s="10"/>
      <c r="G53" s="10"/>
    </row>
    <row r="54" spans="1:7" s="2" customFormat="1" x14ac:dyDescent="0.35">
      <c r="A54" s="107" t="s">
        <v>158</v>
      </c>
      <c r="B54" s="8"/>
      <c r="C54" s="8"/>
      <c r="D54" s="10"/>
      <c r="E54" s="10"/>
      <c r="F54" s="10"/>
      <c r="G54" s="10"/>
    </row>
    <row r="55" spans="1:7" s="2" customFormat="1" x14ac:dyDescent="0.35">
      <c r="A55" s="107" t="s">
        <v>159</v>
      </c>
      <c r="B55" s="8"/>
      <c r="C55" s="8"/>
      <c r="D55" s="10"/>
      <c r="E55" s="10"/>
      <c r="F55" s="9"/>
      <c r="G55" s="9"/>
    </row>
    <row r="56" spans="1:7" s="2" customFormat="1" x14ac:dyDescent="0.35">
      <c r="A56" s="107" t="s">
        <v>160</v>
      </c>
      <c r="B56" s="8"/>
      <c r="C56" s="8"/>
      <c r="D56" s="10"/>
      <c r="E56" s="11"/>
      <c r="F56" s="11"/>
      <c r="G56" s="11"/>
    </row>
    <row r="57" spans="1:7" x14ac:dyDescent="0.35">
      <c r="A57" s="108" t="s">
        <v>161</v>
      </c>
      <c r="B57" s="11"/>
      <c r="C57" s="11"/>
      <c r="D57" s="11"/>
      <c r="E57" s="11"/>
      <c r="F57" s="11"/>
      <c r="G57" s="11"/>
    </row>
    <row r="58" spans="1:7" x14ac:dyDescent="0.35">
      <c r="A58" s="108" t="s">
        <v>162</v>
      </c>
      <c r="B58" s="11"/>
      <c r="C58" s="11"/>
      <c r="D58" s="11"/>
      <c r="E58" s="11"/>
      <c r="F58" s="11"/>
      <c r="G58" s="11"/>
    </row>
    <row r="59" spans="1:7" x14ac:dyDescent="0.35">
      <c r="A59" s="109" t="s">
        <v>163</v>
      </c>
      <c r="B59" s="11"/>
      <c r="C59" s="11"/>
      <c r="D59" s="11"/>
      <c r="E59" s="11"/>
      <c r="F59" s="11"/>
      <c r="G59" s="11"/>
    </row>
    <row r="60" spans="1:7" x14ac:dyDescent="0.35">
      <c r="A60" s="109" t="s">
        <v>113</v>
      </c>
      <c r="B60" s="11"/>
      <c r="C60" s="11"/>
      <c r="D60" s="11"/>
      <c r="E60" s="11"/>
      <c r="F60" s="11"/>
      <c r="G60" s="11"/>
    </row>
    <row r="61" spans="1:7" ht="29.15" customHeight="1" x14ac:dyDescent="0.35">
      <c r="A61" s="110" t="s">
        <v>92</v>
      </c>
      <c r="B61" s="11"/>
      <c r="C61" s="11"/>
      <c r="D61" s="11"/>
      <c r="E61" s="11"/>
      <c r="F61" s="11"/>
      <c r="G61" s="11"/>
    </row>
    <row r="62" spans="1:7" x14ac:dyDescent="0.35">
      <c r="A62" s="111" t="s">
        <v>93</v>
      </c>
      <c r="B62" s="11"/>
      <c r="C62" s="11"/>
      <c r="D62" s="11"/>
      <c r="E62" s="11"/>
      <c r="F62" s="11"/>
      <c r="G62" s="11"/>
    </row>
    <row r="63" spans="1:7" x14ac:dyDescent="0.35">
      <c r="A63" s="112" t="s">
        <v>94</v>
      </c>
      <c r="B63" s="11"/>
      <c r="C63" s="11"/>
      <c r="D63" s="11"/>
      <c r="E63" s="11"/>
      <c r="F63" s="11"/>
      <c r="G63" s="11"/>
    </row>
    <row r="64" spans="1:7" ht="14.9" customHeight="1" x14ac:dyDescent="0.35">
      <c r="A64" s="113" t="s">
        <v>95</v>
      </c>
      <c r="B64" s="13"/>
      <c r="C64" s="13"/>
      <c r="D64" s="13"/>
      <c r="E64" s="13"/>
      <c r="F64" s="13"/>
      <c r="G64" s="13"/>
    </row>
    <row r="65" spans="1:7" s="12" customFormat="1" ht="12" x14ac:dyDescent="0.3">
      <c r="A65" s="114" t="s">
        <v>96</v>
      </c>
      <c r="B65" s="32"/>
      <c r="C65" s="32"/>
      <c r="D65" s="32"/>
      <c r="E65" s="32"/>
      <c r="F65" s="32"/>
      <c r="G65" s="32"/>
    </row>
    <row r="66" spans="1:7" ht="29.15" customHeight="1" x14ac:dyDescent="0.35">
      <c r="A66" s="110" t="s">
        <v>97</v>
      </c>
      <c r="B66" s="13"/>
      <c r="C66" s="13"/>
      <c r="D66" s="13"/>
      <c r="E66" s="13"/>
      <c r="F66" s="13"/>
      <c r="G66" s="13"/>
    </row>
    <row r="67" spans="1:7" s="4" customFormat="1" ht="13" x14ac:dyDescent="0.3">
      <c r="A67" s="111" t="s">
        <v>98</v>
      </c>
      <c r="B67" s="11"/>
      <c r="C67" s="11"/>
      <c r="D67" s="11"/>
      <c r="E67" s="11"/>
      <c r="F67" s="11"/>
      <c r="G67" s="11"/>
    </row>
    <row r="68" spans="1:7" s="4" customFormat="1" ht="13" x14ac:dyDescent="0.3">
      <c r="A68" s="111" t="s">
        <v>169</v>
      </c>
      <c r="B68" s="11"/>
      <c r="C68" s="11"/>
      <c r="D68" s="11"/>
      <c r="E68" s="11"/>
      <c r="F68" s="11"/>
      <c r="G68" s="11"/>
    </row>
  </sheetData>
  <printOptions horizontalCentered="1"/>
  <pageMargins left="0.25" right="0.25" top="0.75" bottom="0.75" header="0.3" footer="0.3"/>
  <pageSetup scale="54"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B83A-3687-4313-8069-91956A8492A2}">
  <sheetPr>
    <tabColor rgb="FF003366"/>
    <pageSetUpPr fitToPage="1"/>
  </sheetPr>
  <dimension ref="A1:G28"/>
  <sheetViews>
    <sheetView showGridLines="0" topLeftCell="A6" workbookViewId="0">
      <selection activeCell="A5" sqref="A5:G10"/>
    </sheetView>
  </sheetViews>
  <sheetFormatPr defaultRowHeight="14.5" x14ac:dyDescent="0.35"/>
  <cols>
    <col min="1" max="1" width="40.54296875" customWidth="1"/>
    <col min="2" max="7" width="25.54296875" customWidth="1"/>
  </cols>
  <sheetData>
    <row r="1" spans="1:7" ht="20.149999999999999" customHeight="1" x14ac:dyDescent="0.35">
      <c r="A1" s="93" t="s">
        <v>116</v>
      </c>
      <c r="B1" s="94"/>
      <c r="C1" s="94"/>
      <c r="D1" s="94"/>
      <c r="E1" s="94"/>
      <c r="F1" s="94"/>
      <c r="G1" s="95"/>
    </row>
    <row r="2" spans="1:7" ht="20.149999999999999" customHeight="1" x14ac:dyDescent="0.35">
      <c r="A2" s="72" t="s">
        <v>88</v>
      </c>
      <c r="B2" s="3"/>
      <c r="C2" s="3"/>
      <c r="D2" s="3"/>
      <c r="E2" s="3"/>
      <c r="F2" s="3"/>
      <c r="G2" s="34"/>
    </row>
    <row r="3" spans="1:7" ht="20.149999999999999" customHeight="1" thickBot="1" x14ac:dyDescent="0.4">
      <c r="A3" s="73" t="s">
        <v>172</v>
      </c>
      <c r="B3" s="3"/>
      <c r="C3" s="3"/>
      <c r="D3" s="3"/>
      <c r="E3" s="3"/>
      <c r="F3" s="3"/>
      <c r="G3" s="34"/>
    </row>
    <row r="4" spans="1:7" x14ac:dyDescent="0.35">
      <c r="A4" s="96"/>
      <c r="B4" s="97" t="s">
        <v>83</v>
      </c>
      <c r="C4" s="98"/>
      <c r="D4" s="98"/>
      <c r="E4" s="98"/>
      <c r="F4" s="98"/>
      <c r="G4" s="99"/>
    </row>
    <row r="5" spans="1:7" x14ac:dyDescent="0.35">
      <c r="A5" s="36" t="s">
        <v>84</v>
      </c>
      <c r="B5" s="53" t="s">
        <v>117</v>
      </c>
      <c r="C5" s="54" t="s">
        <v>118</v>
      </c>
      <c r="D5" s="54" t="s">
        <v>119</v>
      </c>
      <c r="E5" s="57" t="s">
        <v>120</v>
      </c>
      <c r="F5" s="58" t="s">
        <v>121</v>
      </c>
      <c r="G5" s="59" t="s">
        <v>122</v>
      </c>
    </row>
    <row r="6" spans="1:7" x14ac:dyDescent="0.35">
      <c r="A6" s="37" t="s">
        <v>174</v>
      </c>
      <c r="B6" s="90"/>
      <c r="C6" s="91"/>
      <c r="D6" s="92"/>
      <c r="E6" s="91"/>
      <c r="F6" s="91"/>
      <c r="G6" s="48"/>
    </row>
    <row r="7" spans="1:7" x14ac:dyDescent="0.35">
      <c r="A7" s="100" t="s">
        <v>1</v>
      </c>
      <c r="B7" s="29">
        <v>63303</v>
      </c>
      <c r="C7" s="29">
        <v>3737</v>
      </c>
      <c r="D7" s="29">
        <v>67040</v>
      </c>
      <c r="E7" s="29">
        <v>35648</v>
      </c>
      <c r="F7" s="29">
        <v>613</v>
      </c>
      <c r="G7" s="40">
        <v>157238</v>
      </c>
    </row>
    <row r="8" spans="1:7" x14ac:dyDescent="0.35">
      <c r="A8" s="39" t="s">
        <v>150</v>
      </c>
      <c r="B8" s="29">
        <v>321</v>
      </c>
      <c r="C8" s="29">
        <v>1</v>
      </c>
      <c r="D8" s="29">
        <v>322</v>
      </c>
      <c r="E8" s="29">
        <v>0</v>
      </c>
      <c r="F8" s="29">
        <v>1</v>
      </c>
      <c r="G8" s="40">
        <v>103128</v>
      </c>
    </row>
    <row r="9" spans="1:7" x14ac:dyDescent="0.35">
      <c r="A9" s="39" t="s">
        <v>151</v>
      </c>
      <c r="B9" s="29">
        <v>62982</v>
      </c>
      <c r="C9" s="29">
        <v>3736</v>
      </c>
      <c r="D9" s="29">
        <v>66718</v>
      </c>
      <c r="E9" s="29">
        <v>35648</v>
      </c>
      <c r="F9" s="29">
        <v>612</v>
      </c>
      <c r="G9" s="40">
        <v>54110</v>
      </c>
    </row>
    <row r="10" spans="1:7" ht="15" thickBot="1" x14ac:dyDescent="0.4">
      <c r="A10" s="101" t="s">
        <v>105</v>
      </c>
      <c r="B10" s="102">
        <v>63303</v>
      </c>
      <c r="C10" s="102">
        <v>3737</v>
      </c>
      <c r="D10" s="102">
        <v>67040</v>
      </c>
      <c r="E10" s="102">
        <v>35648</v>
      </c>
      <c r="F10" s="102">
        <v>613</v>
      </c>
      <c r="G10" s="103">
        <v>157238</v>
      </c>
    </row>
    <row r="11" spans="1:7" ht="27.9" customHeight="1" x14ac:dyDescent="0.35">
      <c r="A11" s="104" t="s">
        <v>89</v>
      </c>
      <c r="B11" s="25"/>
      <c r="C11" s="25"/>
      <c r="D11" s="25"/>
      <c r="E11" s="25"/>
      <c r="F11" s="25"/>
      <c r="G11" s="25"/>
    </row>
    <row r="12" spans="1:7" x14ac:dyDescent="0.35">
      <c r="A12" s="105" t="s">
        <v>90</v>
      </c>
      <c r="B12" s="8"/>
      <c r="C12" s="8"/>
      <c r="D12" s="10"/>
      <c r="E12" s="11"/>
      <c r="F12" s="10"/>
      <c r="G12" s="10"/>
    </row>
    <row r="13" spans="1:7" x14ac:dyDescent="0.35">
      <c r="A13" s="106" t="s">
        <v>91</v>
      </c>
      <c r="B13" s="8"/>
      <c r="C13" s="8"/>
      <c r="D13" s="10"/>
      <c r="E13" s="11"/>
      <c r="F13" s="10"/>
      <c r="G13" s="10"/>
    </row>
    <row r="14" spans="1:7" x14ac:dyDescent="0.35">
      <c r="A14" s="107" t="s">
        <v>158</v>
      </c>
      <c r="B14" s="8"/>
      <c r="C14" s="8"/>
      <c r="D14" s="10"/>
      <c r="E14" s="10"/>
      <c r="F14" s="10"/>
      <c r="G14" s="10"/>
    </row>
    <row r="15" spans="1:7" x14ac:dyDescent="0.35">
      <c r="A15" s="107" t="s">
        <v>159</v>
      </c>
      <c r="B15" s="8"/>
      <c r="C15" s="8"/>
      <c r="D15" s="10"/>
      <c r="E15" s="10"/>
      <c r="F15" s="9"/>
      <c r="G15" s="9"/>
    </row>
    <row r="16" spans="1:7" x14ac:dyDescent="0.35">
      <c r="A16" s="107" t="s">
        <v>160</v>
      </c>
      <c r="B16" s="8"/>
      <c r="C16" s="8"/>
      <c r="D16" s="10"/>
      <c r="E16" s="11"/>
      <c r="F16" s="11"/>
      <c r="G16" s="11"/>
    </row>
    <row r="17" spans="1:7" x14ac:dyDescent="0.35">
      <c r="A17" s="108" t="s">
        <v>161</v>
      </c>
      <c r="B17" s="11"/>
      <c r="C17" s="11"/>
      <c r="D17" s="11"/>
      <c r="E17" s="11"/>
      <c r="F17" s="11"/>
      <c r="G17" s="11"/>
    </row>
    <row r="18" spans="1:7" x14ac:dyDescent="0.35">
      <c r="A18" s="108" t="s">
        <v>162</v>
      </c>
      <c r="B18" s="11"/>
      <c r="C18" s="11"/>
      <c r="D18" s="11"/>
      <c r="E18" s="11"/>
      <c r="F18" s="11"/>
      <c r="G18" s="11"/>
    </row>
    <row r="19" spans="1:7" x14ac:dyDescent="0.35">
      <c r="A19" s="109" t="s">
        <v>163</v>
      </c>
      <c r="B19" s="11"/>
      <c r="C19" s="11"/>
      <c r="D19" s="11"/>
      <c r="E19" s="11"/>
      <c r="F19" s="11"/>
      <c r="G19" s="11"/>
    </row>
    <row r="20" spans="1:7" x14ac:dyDescent="0.35">
      <c r="A20" s="109" t="s">
        <v>113</v>
      </c>
      <c r="B20" s="11"/>
      <c r="C20" s="11"/>
      <c r="D20" s="11"/>
      <c r="E20" s="11"/>
      <c r="F20" s="11"/>
      <c r="G20" s="11"/>
    </row>
    <row r="21" spans="1:7" x14ac:dyDescent="0.35">
      <c r="A21" s="110" t="s">
        <v>92</v>
      </c>
      <c r="B21" s="11"/>
      <c r="C21" s="11"/>
      <c r="D21" s="11"/>
      <c r="E21" s="11"/>
      <c r="F21" s="11"/>
      <c r="G21" s="11"/>
    </row>
    <row r="22" spans="1:7" x14ac:dyDescent="0.35">
      <c r="A22" s="111" t="s">
        <v>93</v>
      </c>
      <c r="B22" s="11"/>
      <c r="C22" s="11"/>
      <c r="D22" s="11"/>
      <c r="E22" s="11"/>
      <c r="F22" s="11"/>
      <c r="G22" s="11"/>
    </row>
    <row r="23" spans="1:7" x14ac:dyDescent="0.35">
      <c r="A23" s="112" t="s">
        <v>94</v>
      </c>
      <c r="B23" s="11"/>
      <c r="C23" s="11"/>
      <c r="D23" s="11"/>
      <c r="E23" s="11"/>
      <c r="F23" s="11"/>
      <c r="G23" s="11"/>
    </row>
    <row r="24" spans="1:7" x14ac:dyDescent="0.35">
      <c r="A24" s="113" t="s">
        <v>95</v>
      </c>
      <c r="B24" s="13"/>
      <c r="C24" s="13"/>
      <c r="D24" s="13"/>
      <c r="E24" s="13"/>
      <c r="F24" s="13"/>
      <c r="G24" s="13"/>
    </row>
    <row r="25" spans="1:7" x14ac:dyDescent="0.35">
      <c r="A25" s="114" t="s">
        <v>96</v>
      </c>
      <c r="B25" s="32"/>
      <c r="C25" s="32"/>
      <c r="D25" s="32"/>
      <c r="E25" s="32"/>
      <c r="F25" s="32"/>
      <c r="G25" s="32"/>
    </row>
    <row r="26" spans="1:7" x14ac:dyDescent="0.35">
      <c r="A26" s="110" t="s">
        <v>97</v>
      </c>
      <c r="B26" s="13"/>
      <c r="C26" s="13"/>
      <c r="D26" s="13"/>
      <c r="E26" s="13"/>
      <c r="F26" s="13"/>
      <c r="G26" s="13"/>
    </row>
    <row r="27" spans="1:7" x14ac:dyDescent="0.35">
      <c r="A27" s="111" t="s">
        <v>98</v>
      </c>
      <c r="B27" s="11"/>
      <c r="C27" s="11"/>
      <c r="D27" s="11"/>
      <c r="E27" s="11"/>
      <c r="F27" s="11"/>
      <c r="G27" s="11"/>
    </row>
    <row r="28" spans="1:7" x14ac:dyDescent="0.35">
      <c r="A28" s="111" t="s">
        <v>169</v>
      </c>
      <c r="B28" s="11"/>
      <c r="C28" s="11"/>
      <c r="D28" s="11"/>
      <c r="E28" s="11"/>
      <c r="F28" s="11"/>
      <c r="G28" s="11"/>
    </row>
  </sheetData>
  <pageMargins left="0.7" right="0.7" top="0.75" bottom="0.75" header="0.3" footer="0.3"/>
  <pageSetup scale="46"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AC0F-FB27-43AB-AA6B-4AD0CEC71A5C}">
  <sheetPr>
    <tabColor rgb="FF003366"/>
    <pageSetUpPr fitToPage="1"/>
  </sheetPr>
  <dimension ref="A1:G47"/>
  <sheetViews>
    <sheetView showGridLines="0" topLeftCell="A26" workbookViewId="0">
      <selection activeCell="A4" sqref="A4:G33"/>
    </sheetView>
  </sheetViews>
  <sheetFormatPr defaultRowHeight="14.5" x14ac:dyDescent="0.35"/>
  <cols>
    <col min="1" max="1" width="45.54296875" customWidth="1"/>
    <col min="2" max="7" width="13.90625" customWidth="1"/>
  </cols>
  <sheetData>
    <row r="1" spans="1:7" ht="20.149999999999999" customHeight="1" x14ac:dyDescent="0.35">
      <c r="A1" s="33" t="s">
        <v>116</v>
      </c>
      <c r="B1" s="3"/>
      <c r="C1" s="3"/>
      <c r="D1" s="3"/>
      <c r="E1" s="3"/>
      <c r="F1" s="3"/>
      <c r="G1" s="34"/>
    </row>
    <row r="2" spans="1:7" ht="20.149999999999999" customHeight="1" x14ac:dyDescent="0.35">
      <c r="A2" s="72" t="s">
        <v>99</v>
      </c>
      <c r="B2" s="3"/>
      <c r="C2" s="3"/>
      <c r="D2" s="3"/>
      <c r="E2" s="3"/>
      <c r="F2" s="3"/>
      <c r="G2" s="34"/>
    </row>
    <row r="3" spans="1:7" ht="20.149999999999999" customHeight="1" x14ac:dyDescent="0.35">
      <c r="A3" s="73" t="s">
        <v>168</v>
      </c>
      <c r="B3" s="3"/>
      <c r="C3" s="3"/>
      <c r="D3" s="3"/>
      <c r="E3" s="3"/>
      <c r="F3" s="3"/>
      <c r="G3" s="34"/>
    </row>
    <row r="4" spans="1:7" ht="15" x14ac:dyDescent="0.35">
      <c r="A4" s="84"/>
      <c r="B4" s="80" t="s">
        <v>100</v>
      </c>
      <c r="C4" s="81"/>
      <c r="D4" s="82"/>
      <c r="E4" s="80" t="s">
        <v>101</v>
      </c>
      <c r="F4" s="81"/>
      <c r="G4" s="83"/>
    </row>
    <row r="5" spans="1:7" x14ac:dyDescent="0.35">
      <c r="A5" s="75" t="s">
        <v>102</v>
      </c>
      <c r="B5" s="54" t="s">
        <v>103</v>
      </c>
      <c r="C5" s="55" t="s">
        <v>104</v>
      </c>
      <c r="D5" s="55" t="s">
        <v>105</v>
      </c>
      <c r="E5" s="64" t="s">
        <v>103</v>
      </c>
      <c r="F5" s="55" t="s">
        <v>104</v>
      </c>
      <c r="G5" s="56" t="s">
        <v>105</v>
      </c>
    </row>
    <row r="6" spans="1:7" x14ac:dyDescent="0.35">
      <c r="A6" s="37" t="s">
        <v>106</v>
      </c>
      <c r="B6" s="5"/>
      <c r="C6" s="6"/>
      <c r="D6" s="7"/>
      <c r="E6" s="6"/>
      <c r="F6" s="6"/>
      <c r="G6" s="38"/>
    </row>
    <row r="7" spans="1:7" x14ac:dyDescent="0.35">
      <c r="A7" s="44" t="s">
        <v>2</v>
      </c>
      <c r="B7" s="14">
        <v>802523</v>
      </c>
      <c r="C7" s="14">
        <v>2896946</v>
      </c>
      <c r="D7" s="15">
        <v>3699469</v>
      </c>
      <c r="E7" s="16">
        <v>658160</v>
      </c>
      <c r="F7" s="14">
        <v>2828527</v>
      </c>
      <c r="G7" s="60">
        <v>3486687</v>
      </c>
    </row>
    <row r="8" spans="1:7" x14ac:dyDescent="0.35">
      <c r="A8" s="44" t="s">
        <v>3</v>
      </c>
      <c r="B8" s="14">
        <v>38436</v>
      </c>
      <c r="C8" s="14">
        <v>140397</v>
      </c>
      <c r="D8" s="15">
        <v>178833</v>
      </c>
      <c r="E8" s="16">
        <v>30005</v>
      </c>
      <c r="F8" s="14">
        <v>136615</v>
      </c>
      <c r="G8" s="60">
        <v>166620</v>
      </c>
    </row>
    <row r="9" spans="1:7" x14ac:dyDescent="0.35">
      <c r="A9" s="43" t="s">
        <v>4</v>
      </c>
      <c r="B9" s="17">
        <v>28120</v>
      </c>
      <c r="C9" s="17">
        <v>93960</v>
      </c>
      <c r="D9" s="18">
        <v>122080</v>
      </c>
      <c r="E9" s="16">
        <v>21218</v>
      </c>
      <c r="F9" s="14">
        <v>91454</v>
      </c>
      <c r="G9" s="60">
        <v>112672</v>
      </c>
    </row>
    <row r="10" spans="1:7" x14ac:dyDescent="0.35">
      <c r="A10" s="43" t="s">
        <v>5</v>
      </c>
      <c r="B10" s="17">
        <v>25506</v>
      </c>
      <c r="C10" s="17">
        <v>86837</v>
      </c>
      <c r="D10" s="18">
        <v>112343</v>
      </c>
      <c r="E10" s="16">
        <v>19332</v>
      </c>
      <c r="F10" s="14">
        <v>84342</v>
      </c>
      <c r="G10" s="60">
        <v>103674</v>
      </c>
    </row>
    <row r="11" spans="1:7" x14ac:dyDescent="0.35">
      <c r="A11" s="44" t="s">
        <v>6</v>
      </c>
      <c r="B11" s="14">
        <v>10273</v>
      </c>
      <c r="C11" s="14">
        <v>37436</v>
      </c>
      <c r="D11" s="15">
        <v>47709</v>
      </c>
      <c r="E11" s="16">
        <v>9354</v>
      </c>
      <c r="F11" s="14">
        <v>36616</v>
      </c>
      <c r="G11" s="60">
        <v>45970</v>
      </c>
    </row>
    <row r="12" spans="1:7" x14ac:dyDescent="0.35">
      <c r="A12" s="44" t="s">
        <v>173</v>
      </c>
      <c r="B12" s="14">
        <v>8421</v>
      </c>
      <c r="C12" s="14">
        <v>37273</v>
      </c>
      <c r="D12" s="15">
        <v>45694</v>
      </c>
      <c r="E12" s="16">
        <v>7494</v>
      </c>
      <c r="F12" s="14">
        <v>36522</v>
      </c>
      <c r="G12" s="60">
        <v>44016</v>
      </c>
    </row>
    <row r="13" spans="1:7" x14ac:dyDescent="0.35">
      <c r="A13" s="44" t="s">
        <v>7</v>
      </c>
      <c r="B13" s="14">
        <v>9293</v>
      </c>
      <c r="C13" s="14">
        <v>29160</v>
      </c>
      <c r="D13" s="15">
        <v>38453</v>
      </c>
      <c r="E13" s="16">
        <v>7720</v>
      </c>
      <c r="F13" s="14">
        <v>28584</v>
      </c>
      <c r="G13" s="60">
        <v>36304</v>
      </c>
    </row>
    <row r="14" spans="1:7" x14ac:dyDescent="0.35">
      <c r="A14" s="44" t="s">
        <v>8</v>
      </c>
      <c r="B14" s="14">
        <v>8259</v>
      </c>
      <c r="C14" s="14">
        <v>27451</v>
      </c>
      <c r="D14" s="15">
        <v>35710</v>
      </c>
      <c r="E14" s="16">
        <v>6916</v>
      </c>
      <c r="F14" s="14">
        <v>26775</v>
      </c>
      <c r="G14" s="60">
        <v>33691</v>
      </c>
    </row>
    <row r="15" spans="1:7" x14ac:dyDescent="0.35">
      <c r="A15" s="44" t="s">
        <v>9</v>
      </c>
      <c r="B15" s="14">
        <v>7636</v>
      </c>
      <c r="C15" s="14">
        <v>25146</v>
      </c>
      <c r="D15" s="15">
        <v>32782</v>
      </c>
      <c r="E15" s="16">
        <v>6781</v>
      </c>
      <c r="F15" s="14">
        <v>24621</v>
      </c>
      <c r="G15" s="60">
        <v>31402</v>
      </c>
    </row>
    <row r="16" spans="1:7" x14ac:dyDescent="0.35">
      <c r="A16" s="44" t="s">
        <v>10</v>
      </c>
      <c r="B16" s="14">
        <v>5458</v>
      </c>
      <c r="C16" s="14">
        <v>19484</v>
      </c>
      <c r="D16" s="15">
        <v>24942</v>
      </c>
      <c r="E16" s="16">
        <v>4836</v>
      </c>
      <c r="F16" s="14">
        <v>19190</v>
      </c>
      <c r="G16" s="60">
        <v>24026</v>
      </c>
    </row>
    <row r="17" spans="1:7" x14ac:dyDescent="0.35">
      <c r="A17" s="44" t="s">
        <v>11</v>
      </c>
      <c r="B17" s="14">
        <v>5529</v>
      </c>
      <c r="C17" s="14">
        <v>19085</v>
      </c>
      <c r="D17" s="15">
        <v>24614</v>
      </c>
      <c r="E17" s="16">
        <v>4977</v>
      </c>
      <c r="F17" s="14">
        <v>18730</v>
      </c>
      <c r="G17" s="60">
        <v>23707</v>
      </c>
    </row>
    <row r="18" spans="1:7" x14ac:dyDescent="0.35">
      <c r="A18" s="44" t="s">
        <v>13</v>
      </c>
      <c r="B18" s="14">
        <v>4842</v>
      </c>
      <c r="C18" s="14">
        <v>12727</v>
      </c>
      <c r="D18" s="15">
        <v>17569</v>
      </c>
      <c r="E18" s="16">
        <v>3583</v>
      </c>
      <c r="F18" s="14">
        <v>12444</v>
      </c>
      <c r="G18" s="60">
        <v>16027</v>
      </c>
    </row>
    <row r="19" spans="1:7" x14ac:dyDescent="0.35">
      <c r="A19" s="44" t="s">
        <v>12</v>
      </c>
      <c r="B19" s="14">
        <v>3982</v>
      </c>
      <c r="C19" s="14">
        <v>13404</v>
      </c>
      <c r="D19" s="15">
        <v>17386</v>
      </c>
      <c r="E19" s="16">
        <v>3289</v>
      </c>
      <c r="F19" s="14">
        <v>13086</v>
      </c>
      <c r="G19" s="60">
        <v>16375</v>
      </c>
    </row>
    <row r="20" spans="1:7" x14ac:dyDescent="0.35">
      <c r="A20" s="44" t="s">
        <v>14</v>
      </c>
      <c r="B20" s="14">
        <v>3699</v>
      </c>
      <c r="C20" s="14">
        <v>12344</v>
      </c>
      <c r="D20" s="15">
        <v>16043</v>
      </c>
      <c r="E20" s="16">
        <v>3214</v>
      </c>
      <c r="F20" s="14">
        <v>12057</v>
      </c>
      <c r="G20" s="60">
        <v>15271</v>
      </c>
    </row>
    <row r="21" spans="1:7" x14ac:dyDescent="0.35">
      <c r="A21" s="44" t="s">
        <v>15</v>
      </c>
      <c r="B21" s="14">
        <v>4244</v>
      </c>
      <c r="C21" s="14">
        <v>10938</v>
      </c>
      <c r="D21" s="15">
        <v>15182</v>
      </c>
      <c r="E21" s="16">
        <v>3307</v>
      </c>
      <c r="F21" s="14">
        <v>10739</v>
      </c>
      <c r="G21" s="60">
        <v>14046</v>
      </c>
    </row>
    <row r="22" spans="1:7" x14ac:dyDescent="0.35">
      <c r="A22" s="44" t="s">
        <v>16</v>
      </c>
      <c r="B22" s="14">
        <v>2852</v>
      </c>
      <c r="C22" s="14">
        <v>9401</v>
      </c>
      <c r="D22" s="15">
        <v>12253</v>
      </c>
      <c r="E22" s="16">
        <v>2514</v>
      </c>
      <c r="F22" s="14">
        <v>9205</v>
      </c>
      <c r="G22" s="60">
        <v>11719</v>
      </c>
    </row>
    <row r="23" spans="1:7" x14ac:dyDescent="0.35">
      <c r="A23" s="44" t="s">
        <v>156</v>
      </c>
      <c r="B23" s="14">
        <v>3316</v>
      </c>
      <c r="C23" s="14">
        <v>8898</v>
      </c>
      <c r="D23" s="15">
        <v>12214</v>
      </c>
      <c r="E23" s="16">
        <v>2662</v>
      </c>
      <c r="F23" s="14">
        <v>8736</v>
      </c>
      <c r="G23" s="60">
        <v>11398</v>
      </c>
    </row>
    <row r="24" spans="1:7" x14ac:dyDescent="0.35">
      <c r="A24" s="44" t="s">
        <v>17</v>
      </c>
      <c r="B24" s="14">
        <v>2357</v>
      </c>
      <c r="C24" s="14">
        <v>8422</v>
      </c>
      <c r="D24" s="15">
        <v>10779</v>
      </c>
      <c r="E24" s="16">
        <v>2133</v>
      </c>
      <c r="F24" s="14">
        <v>8249</v>
      </c>
      <c r="G24" s="60">
        <v>10382</v>
      </c>
    </row>
    <row r="25" spans="1:7" x14ac:dyDescent="0.35">
      <c r="A25" s="44" t="s">
        <v>18</v>
      </c>
      <c r="B25" s="14">
        <v>2446</v>
      </c>
      <c r="C25" s="14">
        <v>7906</v>
      </c>
      <c r="D25" s="15">
        <v>10352</v>
      </c>
      <c r="E25" s="16">
        <v>2114</v>
      </c>
      <c r="F25" s="14">
        <v>7732</v>
      </c>
      <c r="G25" s="60">
        <v>9846</v>
      </c>
    </row>
    <row r="26" spans="1:7" x14ac:dyDescent="0.35">
      <c r="A26" s="44" t="s">
        <v>22</v>
      </c>
      <c r="B26" s="14">
        <v>2141</v>
      </c>
      <c r="C26" s="14">
        <v>7078</v>
      </c>
      <c r="D26" s="15">
        <v>9219</v>
      </c>
      <c r="E26" s="16">
        <v>1692</v>
      </c>
      <c r="F26" s="14">
        <v>6917</v>
      </c>
      <c r="G26" s="60">
        <v>8609</v>
      </c>
    </row>
    <row r="27" spans="1:7" x14ac:dyDescent="0.35">
      <c r="A27" s="44" t="s">
        <v>19</v>
      </c>
      <c r="B27" s="14">
        <v>2024</v>
      </c>
      <c r="C27" s="14">
        <v>7007</v>
      </c>
      <c r="D27" s="15">
        <v>9031</v>
      </c>
      <c r="E27" s="16">
        <v>1802</v>
      </c>
      <c r="F27" s="14">
        <v>6874</v>
      </c>
      <c r="G27" s="60">
        <v>8676</v>
      </c>
    </row>
    <row r="28" spans="1:7" x14ac:dyDescent="0.35">
      <c r="A28" s="44" t="s">
        <v>20</v>
      </c>
      <c r="B28" s="14">
        <v>2174</v>
      </c>
      <c r="C28" s="14">
        <v>6642</v>
      </c>
      <c r="D28" s="15">
        <v>8816</v>
      </c>
      <c r="E28" s="16">
        <v>1890</v>
      </c>
      <c r="F28" s="14">
        <v>6505</v>
      </c>
      <c r="G28" s="60">
        <v>8395</v>
      </c>
    </row>
    <row r="29" spans="1:7" x14ac:dyDescent="0.35">
      <c r="A29" s="44" t="s">
        <v>21</v>
      </c>
      <c r="B29" s="14">
        <v>2056</v>
      </c>
      <c r="C29" s="14">
        <v>6697</v>
      </c>
      <c r="D29" s="15">
        <v>8753</v>
      </c>
      <c r="E29" s="16">
        <v>1746</v>
      </c>
      <c r="F29" s="14">
        <v>6535</v>
      </c>
      <c r="G29" s="60">
        <v>8281</v>
      </c>
    </row>
    <row r="30" spans="1:7" x14ac:dyDescent="0.35">
      <c r="A30" s="44" t="s">
        <v>157</v>
      </c>
      <c r="B30" s="14">
        <v>1742</v>
      </c>
      <c r="C30" s="14">
        <v>5252</v>
      </c>
      <c r="D30" s="15">
        <v>6994</v>
      </c>
      <c r="E30" s="16">
        <v>1347</v>
      </c>
      <c r="F30" s="14">
        <v>5148</v>
      </c>
      <c r="G30" s="61">
        <v>6495</v>
      </c>
    </row>
    <row r="31" spans="1:7" x14ac:dyDescent="0.35">
      <c r="A31" s="44" t="s">
        <v>23</v>
      </c>
      <c r="B31" s="14">
        <v>1586</v>
      </c>
      <c r="C31" s="14">
        <v>4871</v>
      </c>
      <c r="D31" s="15">
        <v>6457</v>
      </c>
      <c r="E31" s="16">
        <v>1317</v>
      </c>
      <c r="F31" s="14">
        <v>4762</v>
      </c>
      <c r="G31" s="61">
        <v>6079</v>
      </c>
    </row>
    <row r="32" spans="1:7" x14ac:dyDescent="0.35">
      <c r="A32" s="44" t="s">
        <v>24</v>
      </c>
      <c r="B32" s="19">
        <v>34096</v>
      </c>
      <c r="C32" s="19">
        <v>89071</v>
      </c>
      <c r="D32" s="20">
        <v>123167</v>
      </c>
      <c r="E32" s="21">
        <v>25765</v>
      </c>
      <c r="F32" s="19">
        <v>86673</v>
      </c>
      <c r="G32" s="61">
        <v>112438</v>
      </c>
    </row>
    <row r="33" spans="1:7" ht="15" thickBot="1" x14ac:dyDescent="0.4">
      <c r="A33" s="62" t="s">
        <v>123</v>
      </c>
      <c r="B33" s="51">
        <v>1022915</v>
      </c>
      <c r="C33" s="51">
        <v>3623586</v>
      </c>
      <c r="D33" s="51">
        <v>4646501</v>
      </c>
      <c r="E33" s="63">
        <v>835093</v>
      </c>
      <c r="F33" s="51">
        <v>3537399</v>
      </c>
      <c r="G33" s="52">
        <v>4372492</v>
      </c>
    </row>
    <row r="34" spans="1:7" ht="27.9" customHeight="1" x14ac:dyDescent="0.35">
      <c r="A34" s="104" t="s">
        <v>89</v>
      </c>
      <c r="B34" s="26"/>
      <c r="C34" s="26"/>
      <c r="D34" s="26"/>
      <c r="E34" s="26"/>
      <c r="F34" s="26"/>
      <c r="G34" s="26"/>
    </row>
    <row r="35" spans="1:7" x14ac:dyDescent="0.35">
      <c r="A35" s="105" t="s">
        <v>107</v>
      </c>
      <c r="B35" s="8"/>
      <c r="C35" s="8"/>
      <c r="D35" s="11"/>
      <c r="E35" s="10"/>
      <c r="F35" s="10"/>
      <c r="G35" s="11"/>
    </row>
    <row r="36" spans="1:7" x14ac:dyDescent="0.35">
      <c r="A36" s="106" t="s">
        <v>91</v>
      </c>
      <c r="B36" s="8"/>
      <c r="C36" s="8"/>
      <c r="D36" s="11"/>
      <c r="E36" s="10"/>
      <c r="F36" s="10"/>
      <c r="G36" s="11"/>
    </row>
    <row r="37" spans="1:7" x14ac:dyDescent="0.35">
      <c r="A37" s="112" t="s">
        <v>164</v>
      </c>
      <c r="B37" s="8"/>
      <c r="C37" s="8"/>
      <c r="D37" s="10"/>
      <c r="E37" s="10"/>
      <c r="F37" s="10"/>
      <c r="G37" s="10"/>
    </row>
    <row r="38" spans="1:7" x14ac:dyDescent="0.35">
      <c r="A38" s="112" t="s">
        <v>165</v>
      </c>
      <c r="B38" s="8"/>
      <c r="C38" s="8"/>
      <c r="D38" s="10"/>
      <c r="E38" s="10"/>
      <c r="F38" s="10"/>
      <c r="G38" s="10"/>
    </row>
    <row r="39" spans="1:7" ht="13.5" customHeight="1" x14ac:dyDescent="0.35">
      <c r="A39" s="112" t="s">
        <v>166</v>
      </c>
      <c r="B39" s="22"/>
      <c r="C39" s="22"/>
      <c r="D39" s="22"/>
      <c r="E39" s="22"/>
      <c r="F39" s="22"/>
      <c r="G39" s="22"/>
    </row>
    <row r="40" spans="1:7" x14ac:dyDescent="0.35">
      <c r="A40" s="110" t="s">
        <v>92</v>
      </c>
      <c r="B40" s="22"/>
      <c r="C40" s="22"/>
      <c r="D40" s="22"/>
      <c r="E40" s="22"/>
      <c r="F40" s="22"/>
      <c r="G40" s="22"/>
    </row>
    <row r="41" spans="1:7" x14ac:dyDescent="0.35">
      <c r="A41" s="111" t="s">
        <v>108</v>
      </c>
      <c r="B41" s="11"/>
      <c r="C41" s="11"/>
      <c r="D41" s="11"/>
      <c r="E41" s="11"/>
      <c r="F41" s="11"/>
      <c r="G41" s="11"/>
    </row>
    <row r="42" spans="1:7" x14ac:dyDescent="0.35">
      <c r="A42" s="112" t="s">
        <v>109</v>
      </c>
      <c r="B42" s="11"/>
      <c r="C42" s="11"/>
      <c r="D42" s="11"/>
      <c r="E42" s="11"/>
      <c r="F42" s="11"/>
      <c r="G42" s="11"/>
    </row>
    <row r="43" spans="1:7" x14ac:dyDescent="0.35">
      <c r="A43" s="112" t="s">
        <v>110</v>
      </c>
      <c r="B43" s="11"/>
      <c r="C43" s="11"/>
      <c r="D43" s="11"/>
      <c r="E43" s="11"/>
      <c r="F43" s="11"/>
      <c r="G43" s="11"/>
    </row>
    <row r="44" spans="1:7" x14ac:dyDescent="0.35">
      <c r="A44" s="114" t="s">
        <v>96</v>
      </c>
      <c r="B44" s="11"/>
      <c r="C44" s="11"/>
      <c r="D44" s="11"/>
      <c r="E44" s="11"/>
      <c r="F44" s="11"/>
      <c r="G44" s="11"/>
    </row>
    <row r="45" spans="1:7" x14ac:dyDescent="0.35">
      <c r="A45" s="110" t="s">
        <v>97</v>
      </c>
      <c r="B45" s="11"/>
      <c r="C45" s="11"/>
      <c r="D45" s="11"/>
      <c r="E45" s="11"/>
      <c r="F45" s="11"/>
      <c r="G45" s="11"/>
    </row>
    <row r="46" spans="1:7" x14ac:dyDescent="0.35">
      <c r="A46" s="114" t="s">
        <v>98</v>
      </c>
      <c r="B46" s="23"/>
      <c r="C46" s="23"/>
      <c r="D46" s="23"/>
      <c r="E46" s="23"/>
      <c r="F46" s="24"/>
      <c r="G46" s="24"/>
    </row>
    <row r="47" spans="1:7" x14ac:dyDescent="0.35">
      <c r="A47" s="111" t="s">
        <v>169</v>
      </c>
      <c r="B47" s="23"/>
      <c r="C47" s="23"/>
      <c r="D47" s="23"/>
      <c r="E47" s="23"/>
      <c r="F47" s="24"/>
      <c r="G47" s="24"/>
    </row>
  </sheetData>
  <pageMargins left="0.25" right="0.25" top="0.75" bottom="0.75" header="0.3" footer="0.3"/>
  <pageSetup scale="7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4224-BBD1-4DED-871F-3ABC3196061C}">
  <sheetPr>
    <tabColor rgb="FF003366"/>
    <pageSetUpPr fitToPage="1"/>
  </sheetPr>
  <dimension ref="A1:H83"/>
  <sheetViews>
    <sheetView showGridLines="0" topLeftCell="A60" zoomScale="90" zoomScaleNormal="90" workbookViewId="0">
      <selection activeCell="A4" sqref="A4:G69"/>
    </sheetView>
  </sheetViews>
  <sheetFormatPr defaultRowHeight="14.5" x14ac:dyDescent="0.35"/>
  <cols>
    <col min="1" max="1" width="49.54296875" style="69" customWidth="1"/>
    <col min="2" max="7" width="13.90625" customWidth="1"/>
  </cols>
  <sheetData>
    <row r="1" spans="1:8" ht="20.149999999999999" customHeight="1" x14ac:dyDescent="0.35">
      <c r="A1" s="65" t="s">
        <v>116</v>
      </c>
      <c r="B1" s="3"/>
      <c r="C1" s="3"/>
      <c r="D1" s="3"/>
      <c r="E1" s="3"/>
      <c r="F1" s="3"/>
      <c r="G1" s="34"/>
    </row>
    <row r="2" spans="1:8" ht="20.149999999999999" customHeight="1" x14ac:dyDescent="0.35">
      <c r="A2" s="74" t="s">
        <v>111</v>
      </c>
      <c r="B2" s="3"/>
      <c r="C2" s="3"/>
      <c r="D2" s="3"/>
      <c r="E2" s="3"/>
      <c r="F2" s="3"/>
      <c r="G2" s="34"/>
    </row>
    <row r="3" spans="1:8" ht="20.149999999999999" customHeight="1" x14ac:dyDescent="0.35">
      <c r="A3" s="73" t="s">
        <v>168</v>
      </c>
      <c r="B3" s="3"/>
      <c r="C3" s="3"/>
      <c r="D3" s="3"/>
      <c r="E3" s="3"/>
      <c r="F3" s="3"/>
      <c r="G3" s="34"/>
    </row>
    <row r="4" spans="1:8" ht="15" x14ac:dyDescent="0.35">
      <c r="A4" s="89"/>
      <c r="B4" s="85" t="s">
        <v>100</v>
      </c>
      <c r="C4" s="86"/>
      <c r="D4" s="88"/>
      <c r="E4" s="85" t="s">
        <v>101</v>
      </c>
      <c r="F4" s="86"/>
      <c r="G4" s="87"/>
    </row>
    <row r="5" spans="1:8" x14ac:dyDescent="0.35">
      <c r="A5" s="76" t="s">
        <v>112</v>
      </c>
      <c r="B5" s="70" t="s">
        <v>103</v>
      </c>
      <c r="C5" s="70" t="s">
        <v>104</v>
      </c>
      <c r="D5" s="70" t="s">
        <v>105</v>
      </c>
      <c r="E5" s="70" t="s">
        <v>103</v>
      </c>
      <c r="F5" s="70" t="s">
        <v>104</v>
      </c>
      <c r="G5" s="71" t="s">
        <v>105</v>
      </c>
    </row>
    <row r="6" spans="1:8" x14ac:dyDescent="0.35">
      <c r="A6" s="66" t="s">
        <v>25</v>
      </c>
      <c r="B6" s="27">
        <v>289480</v>
      </c>
      <c r="C6" s="27">
        <v>1024010</v>
      </c>
      <c r="D6" s="27">
        <v>1313490</v>
      </c>
      <c r="E6" s="27">
        <v>241141</v>
      </c>
      <c r="F6" s="27">
        <v>1001478</v>
      </c>
      <c r="G6" s="49">
        <v>1242619</v>
      </c>
      <c r="H6" s="121">
        <f>G6-E6-F6</f>
        <v>0</v>
      </c>
    </row>
    <row r="7" spans="1:8" x14ac:dyDescent="0.35">
      <c r="A7" s="67" t="s">
        <v>26</v>
      </c>
      <c r="B7" s="28">
        <v>171463</v>
      </c>
      <c r="C7" s="28">
        <v>597636</v>
      </c>
      <c r="D7" s="28">
        <v>769099</v>
      </c>
      <c r="E7" s="27">
        <v>135814</v>
      </c>
      <c r="F7" s="27">
        <v>584148</v>
      </c>
      <c r="G7" s="49">
        <v>719962</v>
      </c>
    </row>
    <row r="8" spans="1:8" x14ac:dyDescent="0.35">
      <c r="A8" s="67" t="s">
        <v>27</v>
      </c>
      <c r="B8" s="28">
        <v>53830</v>
      </c>
      <c r="C8" s="28">
        <v>190829</v>
      </c>
      <c r="D8" s="28">
        <v>244659</v>
      </c>
      <c r="E8" s="27">
        <v>45505</v>
      </c>
      <c r="F8" s="27">
        <v>186213</v>
      </c>
      <c r="G8" s="49">
        <v>231718</v>
      </c>
    </row>
    <row r="9" spans="1:8" x14ac:dyDescent="0.35">
      <c r="A9" s="66" t="s">
        <v>28</v>
      </c>
      <c r="B9" s="27">
        <v>50366</v>
      </c>
      <c r="C9" s="27">
        <v>152912</v>
      </c>
      <c r="D9" s="27">
        <v>203278</v>
      </c>
      <c r="E9" s="27">
        <v>40941</v>
      </c>
      <c r="F9" s="27">
        <v>149436</v>
      </c>
      <c r="G9" s="49">
        <v>190377</v>
      </c>
    </row>
    <row r="10" spans="1:8" x14ac:dyDescent="0.35">
      <c r="A10" s="66" t="s">
        <v>29</v>
      </c>
      <c r="B10" s="27">
        <v>42646</v>
      </c>
      <c r="C10" s="27">
        <v>141577</v>
      </c>
      <c r="D10" s="27">
        <v>184223</v>
      </c>
      <c r="E10" s="27">
        <v>32939</v>
      </c>
      <c r="F10" s="27">
        <v>138158</v>
      </c>
      <c r="G10" s="49">
        <v>171097</v>
      </c>
    </row>
    <row r="11" spans="1:8" x14ac:dyDescent="0.35">
      <c r="A11" s="66" t="s">
        <v>30</v>
      </c>
      <c r="B11" s="27">
        <v>37402</v>
      </c>
      <c r="C11" s="27">
        <v>137472</v>
      </c>
      <c r="D11" s="27">
        <v>174874</v>
      </c>
      <c r="E11" s="27">
        <v>30763</v>
      </c>
      <c r="F11" s="27">
        <v>133860</v>
      </c>
      <c r="G11" s="49">
        <v>164623</v>
      </c>
    </row>
    <row r="12" spans="1:8" x14ac:dyDescent="0.35">
      <c r="A12" s="66" t="s">
        <v>31</v>
      </c>
      <c r="B12" s="27">
        <v>35288</v>
      </c>
      <c r="C12" s="27">
        <v>136536</v>
      </c>
      <c r="D12" s="27">
        <v>171824</v>
      </c>
      <c r="E12" s="27">
        <v>29923</v>
      </c>
      <c r="F12" s="27">
        <v>133384</v>
      </c>
      <c r="G12" s="49">
        <v>163307</v>
      </c>
    </row>
    <row r="13" spans="1:8" x14ac:dyDescent="0.35">
      <c r="A13" s="66" t="s">
        <v>32</v>
      </c>
      <c r="B13" s="27">
        <v>33735</v>
      </c>
      <c r="C13" s="27">
        <v>118172</v>
      </c>
      <c r="D13" s="27">
        <v>151907</v>
      </c>
      <c r="E13" s="27">
        <v>26050</v>
      </c>
      <c r="F13" s="27">
        <v>114682</v>
      </c>
      <c r="G13" s="49">
        <v>140732</v>
      </c>
    </row>
    <row r="14" spans="1:8" x14ac:dyDescent="0.35">
      <c r="A14" s="66" t="s">
        <v>33</v>
      </c>
      <c r="B14" s="27">
        <v>27496</v>
      </c>
      <c r="C14" s="27">
        <v>91920</v>
      </c>
      <c r="D14" s="27">
        <v>119416</v>
      </c>
      <c r="E14" s="27">
        <v>22236</v>
      </c>
      <c r="F14" s="27">
        <v>89831</v>
      </c>
      <c r="G14" s="49">
        <v>112067</v>
      </c>
    </row>
    <row r="15" spans="1:8" x14ac:dyDescent="0.35">
      <c r="A15" s="66" t="s">
        <v>34</v>
      </c>
      <c r="B15" s="27">
        <v>24616</v>
      </c>
      <c r="C15" s="27">
        <v>89499</v>
      </c>
      <c r="D15" s="27">
        <v>114115</v>
      </c>
      <c r="E15" s="27">
        <v>19624</v>
      </c>
      <c r="F15" s="27">
        <v>87390</v>
      </c>
      <c r="G15" s="49">
        <v>107014</v>
      </c>
    </row>
    <row r="16" spans="1:8" x14ac:dyDescent="0.35">
      <c r="A16" s="66" t="s">
        <v>35</v>
      </c>
      <c r="B16" s="27">
        <v>22701</v>
      </c>
      <c r="C16" s="27">
        <v>81956</v>
      </c>
      <c r="D16" s="27">
        <v>104657</v>
      </c>
      <c r="E16" s="27">
        <v>18759</v>
      </c>
      <c r="F16" s="27">
        <v>79808</v>
      </c>
      <c r="G16" s="49">
        <v>98567</v>
      </c>
    </row>
    <row r="17" spans="1:7" x14ac:dyDescent="0.35">
      <c r="A17" s="66" t="s">
        <v>36</v>
      </c>
      <c r="B17" s="27">
        <v>17388</v>
      </c>
      <c r="C17" s="27">
        <v>69472</v>
      </c>
      <c r="D17" s="27">
        <v>86860</v>
      </c>
      <c r="E17" s="27">
        <v>14471</v>
      </c>
      <c r="F17" s="27">
        <v>67905</v>
      </c>
      <c r="G17" s="49">
        <v>82376</v>
      </c>
    </row>
    <row r="18" spans="1:7" x14ac:dyDescent="0.35">
      <c r="A18" s="66" t="s">
        <v>37</v>
      </c>
      <c r="B18" s="27">
        <v>14130</v>
      </c>
      <c r="C18" s="27">
        <v>54942</v>
      </c>
      <c r="D18" s="27">
        <v>69072</v>
      </c>
      <c r="E18" s="27">
        <v>12195</v>
      </c>
      <c r="F18" s="27">
        <v>53608</v>
      </c>
      <c r="G18" s="49">
        <v>65803</v>
      </c>
    </row>
    <row r="19" spans="1:7" x14ac:dyDescent="0.35">
      <c r="A19" s="66" t="s">
        <v>38</v>
      </c>
      <c r="B19" s="27">
        <v>15074</v>
      </c>
      <c r="C19" s="27">
        <v>53730</v>
      </c>
      <c r="D19" s="27">
        <v>68804</v>
      </c>
      <c r="E19" s="27">
        <v>12453</v>
      </c>
      <c r="F19" s="27">
        <v>52297</v>
      </c>
      <c r="G19" s="49">
        <v>64750</v>
      </c>
    </row>
    <row r="20" spans="1:7" x14ac:dyDescent="0.35">
      <c r="A20" s="66" t="s">
        <v>39</v>
      </c>
      <c r="B20" s="27">
        <v>12973</v>
      </c>
      <c r="C20" s="27">
        <v>50275</v>
      </c>
      <c r="D20" s="27">
        <v>63248</v>
      </c>
      <c r="E20" s="27">
        <v>10882</v>
      </c>
      <c r="F20" s="27">
        <v>48960</v>
      </c>
      <c r="G20" s="49">
        <v>59842</v>
      </c>
    </row>
    <row r="21" spans="1:7" x14ac:dyDescent="0.35">
      <c r="A21" s="66" t="s">
        <v>40</v>
      </c>
      <c r="B21" s="27">
        <v>13098</v>
      </c>
      <c r="C21" s="27">
        <v>48244</v>
      </c>
      <c r="D21" s="27">
        <v>61342</v>
      </c>
      <c r="E21" s="27">
        <v>10810</v>
      </c>
      <c r="F21" s="27">
        <v>46968</v>
      </c>
      <c r="G21" s="49">
        <v>57778</v>
      </c>
    </row>
    <row r="22" spans="1:7" x14ac:dyDescent="0.35">
      <c r="A22" s="66" t="s">
        <v>41</v>
      </c>
      <c r="B22" s="27">
        <v>12727</v>
      </c>
      <c r="C22" s="27">
        <v>45209</v>
      </c>
      <c r="D22" s="27">
        <v>57936</v>
      </c>
      <c r="E22" s="27">
        <v>9988</v>
      </c>
      <c r="F22" s="27">
        <v>44103</v>
      </c>
      <c r="G22" s="49">
        <v>54091</v>
      </c>
    </row>
    <row r="23" spans="1:7" x14ac:dyDescent="0.35">
      <c r="A23" s="66" t="s">
        <v>42</v>
      </c>
      <c r="B23" s="27">
        <v>11557</v>
      </c>
      <c r="C23" s="27">
        <v>42853</v>
      </c>
      <c r="D23" s="27">
        <v>54410</v>
      </c>
      <c r="E23" s="27">
        <v>9221</v>
      </c>
      <c r="F23" s="27">
        <v>41650</v>
      </c>
      <c r="G23" s="49">
        <v>50871</v>
      </c>
    </row>
    <row r="24" spans="1:7" x14ac:dyDescent="0.35">
      <c r="A24" s="66" t="s">
        <v>43</v>
      </c>
      <c r="B24" s="27">
        <v>9682</v>
      </c>
      <c r="C24" s="27">
        <v>36463</v>
      </c>
      <c r="D24" s="27">
        <v>46145</v>
      </c>
      <c r="E24" s="27">
        <v>8280</v>
      </c>
      <c r="F24" s="27">
        <v>35564</v>
      </c>
      <c r="G24" s="49">
        <v>43844</v>
      </c>
    </row>
    <row r="25" spans="1:7" x14ac:dyDescent="0.35">
      <c r="A25" s="66" t="s">
        <v>44</v>
      </c>
      <c r="B25" s="27">
        <v>9393</v>
      </c>
      <c r="C25" s="27">
        <v>34944</v>
      </c>
      <c r="D25" s="27">
        <v>44337</v>
      </c>
      <c r="E25" s="27">
        <v>7600</v>
      </c>
      <c r="F25" s="27">
        <v>34069</v>
      </c>
      <c r="G25" s="49">
        <v>41669</v>
      </c>
    </row>
    <row r="26" spans="1:7" x14ac:dyDescent="0.35">
      <c r="A26" s="66" t="s">
        <v>46</v>
      </c>
      <c r="B26" s="27">
        <v>8763</v>
      </c>
      <c r="C26" s="27">
        <v>32993</v>
      </c>
      <c r="D26" s="27">
        <v>41756</v>
      </c>
      <c r="E26" s="27">
        <v>7052</v>
      </c>
      <c r="F26" s="27">
        <v>32142</v>
      </c>
      <c r="G26" s="49">
        <v>39194</v>
      </c>
    </row>
    <row r="27" spans="1:7" x14ac:dyDescent="0.35">
      <c r="A27" s="66" t="s">
        <v>45</v>
      </c>
      <c r="B27" s="27">
        <v>9574</v>
      </c>
      <c r="C27" s="27">
        <v>30878</v>
      </c>
      <c r="D27" s="27">
        <v>40452</v>
      </c>
      <c r="E27" s="27">
        <v>7723</v>
      </c>
      <c r="F27" s="27">
        <v>30155</v>
      </c>
      <c r="G27" s="49">
        <v>37878</v>
      </c>
    </row>
    <row r="28" spans="1:7" x14ac:dyDescent="0.35">
      <c r="A28" s="66" t="s">
        <v>48</v>
      </c>
      <c r="B28" s="27">
        <v>9381</v>
      </c>
      <c r="C28" s="27">
        <v>30092</v>
      </c>
      <c r="D28" s="27">
        <v>39473</v>
      </c>
      <c r="E28" s="27">
        <v>7715</v>
      </c>
      <c r="F28" s="27">
        <v>29419</v>
      </c>
      <c r="G28" s="49">
        <v>37134</v>
      </c>
    </row>
    <row r="29" spans="1:7" x14ac:dyDescent="0.35">
      <c r="A29" s="66" t="s">
        <v>47</v>
      </c>
      <c r="B29" s="27">
        <v>8646</v>
      </c>
      <c r="C29" s="27">
        <v>30800</v>
      </c>
      <c r="D29" s="27">
        <v>39446</v>
      </c>
      <c r="E29" s="27">
        <v>7400</v>
      </c>
      <c r="F29" s="27">
        <v>30033</v>
      </c>
      <c r="G29" s="49">
        <v>37433</v>
      </c>
    </row>
    <row r="30" spans="1:7" x14ac:dyDescent="0.35">
      <c r="A30" s="66" t="s">
        <v>50</v>
      </c>
      <c r="B30" s="27">
        <v>7826</v>
      </c>
      <c r="C30" s="27">
        <v>29819</v>
      </c>
      <c r="D30" s="27">
        <v>37645</v>
      </c>
      <c r="E30" s="27">
        <v>6494</v>
      </c>
      <c r="F30" s="27">
        <v>29045</v>
      </c>
      <c r="G30" s="49">
        <v>35539</v>
      </c>
    </row>
    <row r="31" spans="1:7" x14ac:dyDescent="0.35">
      <c r="A31" s="66" t="s">
        <v>49</v>
      </c>
      <c r="B31" s="27">
        <v>7680</v>
      </c>
      <c r="C31" s="27">
        <v>29686</v>
      </c>
      <c r="D31" s="27">
        <v>37366</v>
      </c>
      <c r="E31" s="27">
        <v>6562</v>
      </c>
      <c r="F31" s="27">
        <v>28789</v>
      </c>
      <c r="G31" s="49">
        <v>35351</v>
      </c>
    </row>
    <row r="32" spans="1:7" x14ac:dyDescent="0.35">
      <c r="A32" s="66" t="s">
        <v>51</v>
      </c>
      <c r="B32" s="27">
        <v>7440</v>
      </c>
      <c r="C32" s="27">
        <v>26130</v>
      </c>
      <c r="D32" s="27">
        <v>33570</v>
      </c>
      <c r="E32" s="27">
        <v>5765</v>
      </c>
      <c r="F32" s="27">
        <v>25484</v>
      </c>
      <c r="G32" s="49">
        <v>31249</v>
      </c>
    </row>
    <row r="33" spans="1:7" x14ac:dyDescent="0.35">
      <c r="A33" s="66" t="s">
        <v>52</v>
      </c>
      <c r="B33" s="27">
        <v>6749</v>
      </c>
      <c r="C33" s="27">
        <v>25610</v>
      </c>
      <c r="D33" s="27">
        <v>32359</v>
      </c>
      <c r="E33" s="27">
        <v>5526</v>
      </c>
      <c r="F33" s="27">
        <v>24936</v>
      </c>
      <c r="G33" s="49">
        <v>30462</v>
      </c>
    </row>
    <row r="34" spans="1:7" x14ac:dyDescent="0.35">
      <c r="A34" s="66" t="s">
        <v>53</v>
      </c>
      <c r="B34" s="27">
        <v>6166</v>
      </c>
      <c r="C34" s="27">
        <v>22337</v>
      </c>
      <c r="D34" s="27">
        <v>28503</v>
      </c>
      <c r="E34" s="27">
        <v>4806</v>
      </c>
      <c r="F34" s="27">
        <v>21785</v>
      </c>
      <c r="G34" s="49">
        <v>26591</v>
      </c>
    </row>
    <row r="35" spans="1:7" x14ac:dyDescent="0.35">
      <c r="A35" s="66" t="s">
        <v>54</v>
      </c>
      <c r="B35" s="29">
        <v>5999</v>
      </c>
      <c r="C35" s="29">
        <v>22207</v>
      </c>
      <c r="D35" s="29">
        <v>28206</v>
      </c>
      <c r="E35" s="29">
        <v>4692</v>
      </c>
      <c r="F35" s="29">
        <v>21541</v>
      </c>
      <c r="G35" s="40">
        <v>26233</v>
      </c>
    </row>
    <row r="36" spans="1:7" x14ac:dyDescent="0.35">
      <c r="A36" s="66" t="s">
        <v>55</v>
      </c>
      <c r="B36" s="29">
        <v>6093</v>
      </c>
      <c r="C36" s="29">
        <v>20544</v>
      </c>
      <c r="D36" s="29">
        <v>26637</v>
      </c>
      <c r="E36" s="29">
        <v>4950</v>
      </c>
      <c r="F36" s="29">
        <v>20068</v>
      </c>
      <c r="G36" s="40">
        <v>25018</v>
      </c>
    </row>
    <row r="37" spans="1:7" x14ac:dyDescent="0.35">
      <c r="A37" s="66" t="s">
        <v>56</v>
      </c>
      <c r="B37" s="29">
        <v>4529</v>
      </c>
      <c r="C37" s="29">
        <v>17381</v>
      </c>
      <c r="D37" s="29">
        <v>21910</v>
      </c>
      <c r="E37" s="29">
        <v>3805</v>
      </c>
      <c r="F37" s="29">
        <v>16955</v>
      </c>
      <c r="G37" s="40">
        <v>20760</v>
      </c>
    </row>
    <row r="38" spans="1:7" x14ac:dyDescent="0.35">
      <c r="A38" s="66" t="s">
        <v>57</v>
      </c>
      <c r="B38" s="29">
        <v>4436</v>
      </c>
      <c r="C38" s="29">
        <v>16489</v>
      </c>
      <c r="D38" s="29">
        <v>20925</v>
      </c>
      <c r="E38" s="29">
        <v>3682</v>
      </c>
      <c r="F38" s="29">
        <v>16044</v>
      </c>
      <c r="G38" s="40">
        <v>19726</v>
      </c>
    </row>
    <row r="39" spans="1:7" x14ac:dyDescent="0.35">
      <c r="A39" s="66" t="s">
        <v>58</v>
      </c>
      <c r="B39" s="29">
        <v>4207</v>
      </c>
      <c r="C39" s="29">
        <v>15658</v>
      </c>
      <c r="D39" s="29">
        <v>19865</v>
      </c>
      <c r="E39" s="29">
        <v>3423</v>
      </c>
      <c r="F39" s="29">
        <v>15191</v>
      </c>
      <c r="G39" s="40">
        <v>18614</v>
      </c>
    </row>
    <row r="40" spans="1:7" x14ac:dyDescent="0.35">
      <c r="A40" s="66" t="s">
        <v>59</v>
      </c>
      <c r="B40" s="29">
        <v>4139</v>
      </c>
      <c r="C40" s="29">
        <v>15167</v>
      </c>
      <c r="D40" s="29">
        <v>19306</v>
      </c>
      <c r="E40" s="29">
        <v>3310</v>
      </c>
      <c r="F40" s="29">
        <v>14731</v>
      </c>
      <c r="G40" s="40">
        <v>18041</v>
      </c>
    </row>
    <row r="41" spans="1:7" x14ac:dyDescent="0.35">
      <c r="A41" s="66" t="s">
        <v>60</v>
      </c>
      <c r="B41" s="29">
        <v>3559</v>
      </c>
      <c r="C41" s="29">
        <v>14163</v>
      </c>
      <c r="D41" s="29">
        <v>17722</v>
      </c>
      <c r="E41" s="29">
        <v>2967</v>
      </c>
      <c r="F41" s="29">
        <v>13777</v>
      </c>
      <c r="G41" s="40">
        <v>16744</v>
      </c>
    </row>
    <row r="42" spans="1:7" x14ac:dyDescent="0.35">
      <c r="A42" s="66" t="s">
        <v>61</v>
      </c>
      <c r="B42" s="29">
        <v>2914</v>
      </c>
      <c r="C42" s="29">
        <v>9388</v>
      </c>
      <c r="D42" s="29">
        <v>12302</v>
      </c>
      <c r="E42" s="29">
        <v>2161</v>
      </c>
      <c r="F42" s="29">
        <v>9137</v>
      </c>
      <c r="G42" s="40">
        <v>11298</v>
      </c>
    </row>
    <row r="43" spans="1:7" x14ac:dyDescent="0.35">
      <c r="A43" s="66" t="s">
        <v>63</v>
      </c>
      <c r="B43" s="29">
        <v>2146</v>
      </c>
      <c r="C43" s="29">
        <v>7284</v>
      </c>
      <c r="D43" s="29">
        <v>9430</v>
      </c>
      <c r="E43" s="29">
        <v>1625</v>
      </c>
      <c r="F43" s="29">
        <v>7125</v>
      </c>
      <c r="G43" s="40">
        <v>8750</v>
      </c>
    </row>
    <row r="44" spans="1:7" x14ac:dyDescent="0.35">
      <c r="A44" s="66" t="s">
        <v>62</v>
      </c>
      <c r="B44" s="29">
        <v>1892</v>
      </c>
      <c r="C44" s="29">
        <v>7395</v>
      </c>
      <c r="D44" s="29">
        <v>9287</v>
      </c>
      <c r="E44" s="29">
        <v>1553</v>
      </c>
      <c r="F44" s="29">
        <v>7240</v>
      </c>
      <c r="G44" s="40">
        <v>8793</v>
      </c>
    </row>
    <row r="45" spans="1:7" x14ac:dyDescent="0.35">
      <c r="A45" s="66" t="s">
        <v>64</v>
      </c>
      <c r="B45" s="29">
        <v>1438</v>
      </c>
      <c r="C45" s="29">
        <v>5067</v>
      </c>
      <c r="D45" s="29">
        <v>6505</v>
      </c>
      <c r="E45" s="29">
        <v>1173</v>
      </c>
      <c r="F45" s="29">
        <v>4911</v>
      </c>
      <c r="G45" s="40">
        <v>6084</v>
      </c>
    </row>
    <row r="46" spans="1:7" x14ac:dyDescent="0.35">
      <c r="A46" s="66" t="s">
        <v>114</v>
      </c>
      <c r="B46" s="29">
        <v>985</v>
      </c>
      <c r="C46" s="29">
        <v>3337</v>
      </c>
      <c r="D46" s="29">
        <v>4322</v>
      </c>
      <c r="E46" s="29">
        <v>748</v>
      </c>
      <c r="F46" s="29">
        <v>3261</v>
      </c>
      <c r="G46" s="40">
        <v>4009</v>
      </c>
    </row>
    <row r="47" spans="1:7" x14ac:dyDescent="0.35">
      <c r="A47" s="66" t="s">
        <v>65</v>
      </c>
      <c r="B47" s="29">
        <v>871</v>
      </c>
      <c r="C47" s="29">
        <v>2822</v>
      </c>
      <c r="D47" s="29">
        <v>3693</v>
      </c>
      <c r="E47" s="29">
        <v>675</v>
      </c>
      <c r="F47" s="29">
        <v>2737</v>
      </c>
      <c r="G47" s="40">
        <v>3412</v>
      </c>
    </row>
    <row r="48" spans="1:7" x14ac:dyDescent="0.35">
      <c r="A48" s="66" t="s">
        <v>66</v>
      </c>
      <c r="B48" s="29">
        <v>509</v>
      </c>
      <c r="C48" s="29">
        <v>2224</v>
      </c>
      <c r="D48" s="29">
        <v>2733</v>
      </c>
      <c r="E48" s="29">
        <v>379</v>
      </c>
      <c r="F48" s="29">
        <v>2168</v>
      </c>
      <c r="G48" s="40">
        <v>2547</v>
      </c>
    </row>
    <row r="49" spans="1:7" x14ac:dyDescent="0.35">
      <c r="A49" s="66" t="s">
        <v>67</v>
      </c>
      <c r="B49" s="29">
        <v>421</v>
      </c>
      <c r="C49" s="29">
        <v>1524</v>
      </c>
      <c r="D49" s="29">
        <v>1945</v>
      </c>
      <c r="E49" s="29">
        <v>336</v>
      </c>
      <c r="F49" s="29">
        <v>1476</v>
      </c>
      <c r="G49" s="40">
        <v>1812</v>
      </c>
    </row>
    <row r="50" spans="1:7" x14ac:dyDescent="0.35">
      <c r="A50" s="66" t="s">
        <v>68</v>
      </c>
      <c r="B50" s="29">
        <v>324</v>
      </c>
      <c r="C50" s="29">
        <v>1278</v>
      </c>
      <c r="D50" s="29">
        <v>1602</v>
      </c>
      <c r="E50" s="29">
        <v>258</v>
      </c>
      <c r="F50" s="29">
        <v>1215</v>
      </c>
      <c r="G50" s="40">
        <v>1473</v>
      </c>
    </row>
    <row r="51" spans="1:7" x14ac:dyDescent="0.35">
      <c r="A51" s="66" t="s">
        <v>70</v>
      </c>
      <c r="B51" s="29">
        <v>177</v>
      </c>
      <c r="C51" s="29">
        <v>809</v>
      </c>
      <c r="D51" s="29">
        <v>986</v>
      </c>
      <c r="E51" s="29">
        <v>124</v>
      </c>
      <c r="F51" s="29">
        <v>771</v>
      </c>
      <c r="G51" s="40">
        <v>895</v>
      </c>
    </row>
    <row r="52" spans="1:7" x14ac:dyDescent="0.35">
      <c r="A52" s="66" t="s">
        <v>69</v>
      </c>
      <c r="B52" s="29">
        <v>123</v>
      </c>
      <c r="C52" s="29">
        <v>838</v>
      </c>
      <c r="D52" s="29">
        <v>961</v>
      </c>
      <c r="E52" s="29">
        <v>82</v>
      </c>
      <c r="F52" s="29">
        <v>815</v>
      </c>
      <c r="G52" s="40">
        <v>897</v>
      </c>
    </row>
    <row r="53" spans="1:7" x14ac:dyDescent="0.35">
      <c r="A53" s="66" t="s">
        <v>71</v>
      </c>
      <c r="B53" s="29">
        <v>292</v>
      </c>
      <c r="C53" s="29">
        <v>459</v>
      </c>
      <c r="D53" s="29">
        <v>751</v>
      </c>
      <c r="E53" s="29">
        <v>165</v>
      </c>
      <c r="F53" s="29">
        <v>447</v>
      </c>
      <c r="G53" s="40">
        <v>612</v>
      </c>
    </row>
    <row r="54" spans="1:7" x14ac:dyDescent="0.35">
      <c r="A54" s="66" t="s">
        <v>73</v>
      </c>
      <c r="B54" s="29">
        <v>90</v>
      </c>
      <c r="C54" s="29">
        <v>576</v>
      </c>
      <c r="D54" s="29">
        <v>666</v>
      </c>
      <c r="E54" s="29">
        <v>68</v>
      </c>
      <c r="F54" s="29">
        <v>558</v>
      </c>
      <c r="G54" s="40">
        <v>626</v>
      </c>
    </row>
    <row r="55" spans="1:7" x14ac:dyDescent="0.35">
      <c r="A55" s="66" t="s">
        <v>72</v>
      </c>
      <c r="B55" s="29">
        <v>109</v>
      </c>
      <c r="C55" s="29">
        <v>497</v>
      </c>
      <c r="D55" s="29">
        <v>606</v>
      </c>
      <c r="E55" s="29">
        <v>93</v>
      </c>
      <c r="F55" s="29">
        <v>486</v>
      </c>
      <c r="G55" s="40">
        <v>579</v>
      </c>
    </row>
    <row r="56" spans="1:7" x14ac:dyDescent="0.35">
      <c r="A56" s="66" t="s">
        <v>74</v>
      </c>
      <c r="B56" s="29">
        <v>62</v>
      </c>
      <c r="C56" s="29">
        <v>376</v>
      </c>
      <c r="D56" s="29">
        <v>438</v>
      </c>
      <c r="E56" s="29">
        <v>49</v>
      </c>
      <c r="F56" s="29">
        <v>366</v>
      </c>
      <c r="G56" s="40">
        <v>415</v>
      </c>
    </row>
    <row r="57" spans="1:7" x14ac:dyDescent="0.35">
      <c r="A57" s="66" t="s">
        <v>75</v>
      </c>
      <c r="B57" s="29">
        <v>133</v>
      </c>
      <c r="C57" s="29">
        <v>179</v>
      </c>
      <c r="D57" s="29">
        <v>312</v>
      </c>
      <c r="E57" s="29">
        <v>69</v>
      </c>
      <c r="F57" s="29">
        <v>174</v>
      </c>
      <c r="G57" s="40">
        <v>243</v>
      </c>
    </row>
    <row r="58" spans="1:7" x14ac:dyDescent="0.35">
      <c r="A58" s="66" t="s">
        <v>76</v>
      </c>
      <c r="B58" s="29">
        <v>18</v>
      </c>
      <c r="C58" s="29">
        <v>183</v>
      </c>
      <c r="D58" s="29">
        <v>201</v>
      </c>
      <c r="E58" s="29">
        <v>11</v>
      </c>
      <c r="F58" s="29">
        <v>177</v>
      </c>
      <c r="G58" s="40">
        <v>188</v>
      </c>
    </row>
    <row r="59" spans="1:7" x14ac:dyDescent="0.35">
      <c r="A59" s="66" t="s">
        <v>152</v>
      </c>
      <c r="B59" s="29">
        <v>18</v>
      </c>
      <c r="C59" s="29">
        <v>141</v>
      </c>
      <c r="D59" s="29">
        <v>159</v>
      </c>
      <c r="E59" s="29">
        <v>12</v>
      </c>
      <c r="F59" s="29">
        <v>140</v>
      </c>
      <c r="G59" s="40">
        <v>152</v>
      </c>
    </row>
    <row r="60" spans="1:7" x14ac:dyDescent="0.35">
      <c r="A60" s="66" t="s">
        <v>77</v>
      </c>
      <c r="B60" s="29">
        <v>25</v>
      </c>
      <c r="C60" s="29">
        <v>104</v>
      </c>
      <c r="D60" s="29">
        <v>129</v>
      </c>
      <c r="E60" s="29">
        <v>21</v>
      </c>
      <c r="F60" s="29">
        <v>101</v>
      </c>
      <c r="G60" s="40">
        <v>122</v>
      </c>
    </row>
    <row r="61" spans="1:7" x14ac:dyDescent="0.35">
      <c r="A61" s="66" t="s">
        <v>153</v>
      </c>
      <c r="B61" s="29">
        <v>34</v>
      </c>
      <c r="C61" s="29">
        <v>36</v>
      </c>
      <c r="D61" s="29">
        <v>70</v>
      </c>
      <c r="E61" s="29">
        <v>7</v>
      </c>
      <c r="F61" s="29">
        <v>34</v>
      </c>
      <c r="G61" s="40">
        <v>41</v>
      </c>
    </row>
    <row r="62" spans="1:7" x14ac:dyDescent="0.35">
      <c r="A62" s="66" t="s">
        <v>154</v>
      </c>
      <c r="B62" s="29">
        <v>2</v>
      </c>
      <c r="C62" s="29">
        <v>41</v>
      </c>
      <c r="D62" s="29">
        <v>43</v>
      </c>
      <c r="E62" s="29">
        <v>2</v>
      </c>
      <c r="F62" s="29">
        <v>41</v>
      </c>
      <c r="G62" s="40">
        <v>43</v>
      </c>
    </row>
    <row r="63" spans="1:7" x14ac:dyDescent="0.35">
      <c r="A63" s="66" t="s">
        <v>115</v>
      </c>
      <c r="B63" s="29">
        <v>4</v>
      </c>
      <c r="C63" s="29">
        <v>31</v>
      </c>
      <c r="D63" s="29">
        <v>35</v>
      </c>
      <c r="E63" s="29">
        <v>3</v>
      </c>
      <c r="F63" s="29">
        <v>29</v>
      </c>
      <c r="G63" s="40">
        <v>32</v>
      </c>
    </row>
    <row r="64" spans="1:7" x14ac:dyDescent="0.35">
      <c r="A64" s="66" t="s">
        <v>78</v>
      </c>
      <c r="B64" s="29">
        <v>1</v>
      </c>
      <c r="C64" s="29">
        <v>32</v>
      </c>
      <c r="D64" s="29">
        <v>33</v>
      </c>
      <c r="E64" s="29">
        <v>1</v>
      </c>
      <c r="F64" s="29">
        <v>31</v>
      </c>
      <c r="G64" s="40">
        <v>32</v>
      </c>
    </row>
    <row r="65" spans="1:7" x14ac:dyDescent="0.35">
      <c r="A65" s="66" t="s">
        <v>79</v>
      </c>
      <c r="B65" s="29">
        <v>0</v>
      </c>
      <c r="C65" s="29">
        <v>33</v>
      </c>
      <c r="D65" s="29">
        <v>33</v>
      </c>
      <c r="E65" s="29">
        <v>0</v>
      </c>
      <c r="F65" s="29">
        <v>32</v>
      </c>
      <c r="G65" s="40">
        <v>32</v>
      </c>
    </row>
    <row r="66" spans="1:7" x14ac:dyDescent="0.35">
      <c r="A66" s="66" t="s">
        <v>155</v>
      </c>
      <c r="B66" s="29">
        <v>3</v>
      </c>
      <c r="C66" s="29">
        <v>30</v>
      </c>
      <c r="D66" s="29">
        <v>33</v>
      </c>
      <c r="E66" s="29">
        <v>2</v>
      </c>
      <c r="F66" s="29">
        <v>30</v>
      </c>
      <c r="G66" s="40">
        <v>32</v>
      </c>
    </row>
    <row r="67" spans="1:7" x14ac:dyDescent="0.35">
      <c r="A67" s="66" t="s">
        <v>80</v>
      </c>
      <c r="B67" s="29">
        <v>0</v>
      </c>
      <c r="C67" s="29">
        <v>16</v>
      </c>
      <c r="D67" s="29">
        <v>16</v>
      </c>
      <c r="E67" s="29">
        <v>0</v>
      </c>
      <c r="F67" s="29">
        <v>16</v>
      </c>
      <c r="G67" s="40">
        <v>16</v>
      </c>
    </row>
    <row r="68" spans="1:7" x14ac:dyDescent="0.35">
      <c r="A68" s="66" t="s">
        <v>81</v>
      </c>
      <c r="B68" s="30">
        <v>92</v>
      </c>
      <c r="C68" s="30">
        <v>273</v>
      </c>
      <c r="D68" s="30">
        <v>365</v>
      </c>
      <c r="E68" s="30">
        <v>9</v>
      </c>
      <c r="F68" s="30">
        <v>266</v>
      </c>
      <c r="G68" s="50">
        <v>275</v>
      </c>
    </row>
    <row r="69" spans="1:7" ht="15" thickBot="1" x14ac:dyDescent="0.4">
      <c r="A69" s="68" t="s">
        <v>123</v>
      </c>
      <c r="B69" s="51">
        <v>1022915</v>
      </c>
      <c r="C69" s="51">
        <v>3623586</v>
      </c>
      <c r="D69" s="51">
        <v>4646501</v>
      </c>
      <c r="E69" s="51">
        <v>835093</v>
      </c>
      <c r="F69" s="51">
        <v>3537399</v>
      </c>
      <c r="G69" s="52">
        <v>4372492</v>
      </c>
    </row>
    <row r="70" spans="1:7" ht="27.9" customHeight="1" x14ac:dyDescent="0.35">
      <c r="A70" s="115" t="s">
        <v>89</v>
      </c>
      <c r="B70" s="26"/>
      <c r="C70" s="26"/>
      <c r="D70" s="26"/>
      <c r="E70" s="26"/>
      <c r="F70" s="26"/>
      <c r="G70" s="26"/>
    </row>
    <row r="71" spans="1:7" x14ac:dyDescent="0.35">
      <c r="A71" s="105" t="s">
        <v>90</v>
      </c>
      <c r="B71" s="8"/>
      <c r="C71" s="8"/>
      <c r="D71" s="11"/>
      <c r="E71" s="10"/>
      <c r="F71" s="10"/>
      <c r="G71" s="11"/>
    </row>
    <row r="72" spans="1:7" x14ac:dyDescent="0.35">
      <c r="A72" s="116" t="s">
        <v>91</v>
      </c>
      <c r="B72" s="8"/>
      <c r="C72" s="8"/>
      <c r="D72" s="11"/>
      <c r="E72" s="10"/>
      <c r="F72" s="10"/>
      <c r="G72" s="11"/>
    </row>
    <row r="73" spans="1:7" x14ac:dyDescent="0.35">
      <c r="A73" s="117" t="s">
        <v>164</v>
      </c>
      <c r="B73" s="8"/>
      <c r="C73" s="8"/>
      <c r="D73" s="10"/>
      <c r="E73" s="10"/>
      <c r="F73" s="10"/>
      <c r="G73" s="10"/>
    </row>
    <row r="74" spans="1:7" x14ac:dyDescent="0.35">
      <c r="A74" s="117" t="s">
        <v>165</v>
      </c>
      <c r="B74" s="8"/>
      <c r="C74" s="8"/>
      <c r="D74" s="10"/>
      <c r="E74" s="10"/>
      <c r="F74" s="10"/>
      <c r="G74" s="10"/>
    </row>
    <row r="75" spans="1:7" x14ac:dyDescent="0.35">
      <c r="A75" s="117" t="s">
        <v>167</v>
      </c>
      <c r="B75" s="22"/>
      <c r="C75" s="22"/>
      <c r="D75" s="22"/>
      <c r="E75" s="22"/>
      <c r="F75" s="22"/>
      <c r="G75" s="22"/>
    </row>
    <row r="76" spans="1:7" x14ac:dyDescent="0.35">
      <c r="A76" s="118" t="s">
        <v>92</v>
      </c>
      <c r="B76" s="22"/>
      <c r="C76" s="22"/>
      <c r="D76" s="22"/>
      <c r="E76" s="22"/>
      <c r="F76" s="22"/>
      <c r="G76" s="22"/>
    </row>
    <row r="77" spans="1:7" x14ac:dyDescent="0.35">
      <c r="A77" s="119" t="s">
        <v>108</v>
      </c>
      <c r="B77" s="11"/>
      <c r="C77" s="11"/>
      <c r="D77" s="11"/>
      <c r="E77" s="11"/>
      <c r="F77" s="11"/>
      <c r="G77" s="11"/>
    </row>
    <row r="78" spans="1:7" x14ac:dyDescent="0.35">
      <c r="A78" s="117" t="s">
        <v>109</v>
      </c>
      <c r="B78" s="11"/>
      <c r="C78" s="11"/>
      <c r="D78" s="11"/>
      <c r="E78" s="11"/>
      <c r="F78" s="11"/>
      <c r="G78" s="11"/>
    </row>
    <row r="79" spans="1:7" x14ac:dyDescent="0.35">
      <c r="A79" s="117" t="s">
        <v>110</v>
      </c>
      <c r="B79" s="11"/>
      <c r="C79" s="11"/>
      <c r="D79" s="11"/>
      <c r="E79" s="11"/>
      <c r="F79" s="11"/>
      <c r="G79" s="11"/>
    </row>
    <row r="80" spans="1:7" x14ac:dyDescent="0.35">
      <c r="A80" s="120" t="s">
        <v>96</v>
      </c>
      <c r="B80" s="11"/>
      <c r="C80" s="11"/>
      <c r="D80" s="11"/>
      <c r="E80" s="11"/>
      <c r="F80" s="11"/>
      <c r="G80" s="11"/>
    </row>
    <row r="81" spans="1:7" x14ac:dyDescent="0.35">
      <c r="A81" s="118" t="s">
        <v>97</v>
      </c>
      <c r="B81" s="11"/>
      <c r="C81" s="11"/>
      <c r="D81" s="11"/>
      <c r="E81" s="11"/>
      <c r="F81" s="11"/>
      <c r="G81" s="11"/>
    </row>
    <row r="82" spans="1:7" x14ac:dyDescent="0.35">
      <c r="A82" s="120" t="s">
        <v>98</v>
      </c>
      <c r="B82" s="24"/>
      <c r="C82" s="24"/>
      <c r="D82" s="24"/>
      <c r="E82" s="24"/>
      <c r="F82" s="24"/>
      <c r="G82" s="24"/>
    </row>
    <row r="83" spans="1:7" x14ac:dyDescent="0.35">
      <c r="A83" s="111" t="s">
        <v>169</v>
      </c>
      <c r="B83" s="24"/>
      <c r="C83" s="24"/>
      <c r="D83" s="24"/>
      <c r="E83" s="24"/>
      <c r="F83" s="24"/>
      <c r="G83" s="24"/>
    </row>
  </sheetData>
  <pageMargins left="0.25" right="0.25" top="0.75" bottom="0.75" header="0.3" footer="0.3"/>
  <pageSetup scale="79"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DACA_Requests_by_FY</vt:lpstr>
      <vt:lpstr>DACA_FY26_Requests_by_Quarter</vt:lpstr>
      <vt:lpstr>DACA_COB</vt:lpstr>
      <vt:lpstr>DACA_State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Deferred Action for Childhood Arrivals (DACA) Quarterly Report (Fiscal Year 2026, Quarter 1)</dc:title>
  <dc:subject>Contains information on requests for Consideration of Deferred Action for Childhood Arrivals (DACA). It displays the intake and case status by fiscal year and fiscal year by quarter.  Also contains accepted and approved requests by country and U.S. state or territory of residence to date.</dc:subject>
  <dc:creator/>
  <cp:keywords>DACA, I-821, i821</cp:keywords>
  <cp:lastModifiedBy/>
  <dcterms:created xsi:type="dcterms:W3CDTF">2024-01-31T14:18:51Z</dcterms:created>
  <dcterms:modified xsi:type="dcterms:W3CDTF">2026-03-30T22:15:50Z</dcterms:modified>
</cp:coreProperties>
</file>