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OPQ\HQPMD\Data Reports FY2026\6. Quarterly\Quarter 1\Final (For Clearance)\STARS 03302026\"/>
    </mc:Choice>
  </mc:AlternateContent>
  <xr:revisionPtr revIDLastSave="0" documentId="13_ncr:1_{0E78F595-5195-4CE9-80C1-2F5C0C57E01C}" xr6:coauthVersionLast="47" xr6:coauthVersionMax="47" xr10:uidLastSave="{00000000-0000-0000-0000-000000000000}"/>
  <bookViews>
    <workbookView xWindow="-25710" yWindow="-110" windowWidth="25820" windowHeight="13900" xr2:uid="{71827321-9B6F-4D9C-ACE6-BA7625C04B12}"/>
  </bookViews>
  <sheets>
    <sheet name="N400_FY26Q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131_FWVP_Master">#REF!</definedName>
    <definedName name="_AMO_RefreshMultipleList" hidden="1">"'&lt;Items /&gt;'"</definedName>
    <definedName name="_AMO_UniqueIdentifier">"'2d3d6e06-a8fd-4639-b1e6-c4e40df91892'"</definedName>
    <definedName name="_AMO_XmlVersion" hidden="1">"'1'"</definedName>
    <definedName name="AAJs">'[1]Centralized Assumptions'!$B$19</definedName>
    <definedName name="Achieved_Remand_Reduction">'[1]Centralized Assumptions'!$B$63</definedName>
    <definedName name="Additional_Transcription_Costs">'[1]Centralized Assumptions'!$B$126</definedName>
    <definedName name="ALJ_Gap">'[1]Centralized Assumptions'!$G$15</definedName>
    <definedName name="ALJs">'[1]Centralized Assumptions'!$B$15</definedName>
    <definedName name="ALJs_per_extra_recorder">'[1]Centralized Assumptions'!$B$32</definedName>
    <definedName name="ALJs_per_Site">'[1]Centralized Assumptions'!$C$15</definedName>
    <definedName name="Analog_Repair_per_Unit">'[1]Centralized Assumptions'!$B$79</definedName>
    <definedName name="Analog_Repairs">'[1]Centralized Assumptions'!$B$80</definedName>
    <definedName name="Annual_CCL_Cost">'[1]Centralized Assumptions'!$B$99</definedName>
    <definedName name="Appeals_Officers">'[1]Centralized Assumptions'!$B$18</definedName>
    <definedName name="APR_PROD">#REF!</definedName>
    <definedName name="AUG_PROD">#REF!</definedName>
    <definedName name="baseyear">'[1]Discount Rate &amp; Matrix'!$C$3</definedName>
    <definedName name="Benefit_Data">'[1]Benefit Data'!$A$1:$K$1090</definedName>
    <definedName name="BenefitMatrix">#REF!</definedName>
    <definedName name="Benefits_Matrix">'[1]Benefits Summary Constant $'!$A$6:$A$23</definedName>
    <definedName name="Cassettes_per_Hearing">'[1]Centralized Assumptions'!$B$75</definedName>
    <definedName name="CD_costs_Benefit_Table">'[1]Caseload Projections'!$A$121:$N$130</definedName>
    <definedName name="CDs_per_Hearing">'[1]Centralized Assumptions'!$B$76</definedName>
    <definedName name="CES">'[1]Cost Summary Constant $'!$A$6:$A$87</definedName>
    <definedName name="Contractor_Hourly_Rate">'[1]Centralized Assumptions'!$B$7</definedName>
    <definedName name="Cost_Data">'[1]Cost Data'!$A$2:$K$1053</definedName>
    <definedName name="Cost_per_Cassette">'[1]Centralized Assumptions'!$B$67</definedName>
    <definedName name="Cost_per_CD">'[1]Centralized Assumptions'!$B$68</definedName>
    <definedName name="Cost_per_CD_Benefit">'[1]Centralized Assumptions'!$B$69</definedName>
    <definedName name="Cost_per_Initial_Hearing">'[1]Centralized Assumptions'!$B$61</definedName>
    <definedName name="Cost_per_Remand">'[1]Centralized Assumptions'!$B$62</definedName>
    <definedName name="DC_GSRates">'[1]2002 GS Rates'!$A$46:$H$60</definedName>
    <definedName name="DEC_PROD">#REF!</definedName>
    <definedName name="Decision_Writers">'[1]Centralized Assumptions'!$B$16</definedName>
    <definedName name="DecisionWriter_Gap">'[1]Centralized Assumptions'!$G$16</definedName>
    <definedName name="DecisionWriters_per_Site">'[1]Centralized Assumptions'!$C$16</definedName>
    <definedName name="Detail_Site_Matrix">'[1]Sites by Region'!$B$1:$K$42</definedName>
    <definedName name="Discount_Matrix">'[1]Discount Rate &amp; Matrix'!$A$6:$C$17</definedName>
    <definedName name="Discount_Rate">'[1]Discount Rate &amp; Matrix'!$C$2</definedName>
    <definedName name="DiscountMatrix">'[1]Discount Rate &amp; Matrix'!$C$5:$C$17</definedName>
    <definedName name="Duplications">'[1]Centralized Assumptions'!$B$74</definedName>
    <definedName name="Equipment_by_Region">'[1]Centralized Assumptions'!$F$23:$N$32</definedName>
    <definedName name="Equipment_List">'[1]Equipment Configurations'!$G$8:$G$19</definedName>
    <definedName name="Equipment_Matrix">'[1]Equipment Configurations'!$A$2:$F$82</definedName>
    <definedName name="Equipment_Unit_Price">'[1]Centralized Assumptions'!$B$38</definedName>
    <definedName name="Factor_Year00">'[1]Discount Rate &amp; Matrix'!$C$6</definedName>
    <definedName name="Factor_Year01">'[1]Discount Rate &amp; Matrix'!$C$7</definedName>
    <definedName name="Factor_Year02">'[1]Discount Rate &amp; Matrix'!$C$8</definedName>
    <definedName name="Factor_Year03">'[1]Discount Rate &amp; Matrix'!$C$9</definedName>
    <definedName name="Factor_Year04">'[1]Discount Rate &amp; Matrix'!$C$10</definedName>
    <definedName name="Factor_Year05">'[1]Discount Rate &amp; Matrix'!$C$11</definedName>
    <definedName name="Factor_Year06">'[1]Discount Rate &amp; Matrix'!$C$12</definedName>
    <definedName name="Factor_Year07">'[1]Discount Rate &amp; Matrix'!$C$13</definedName>
    <definedName name="Factor_Year08">'[1]Discount Rate &amp; Matrix'!$C$14</definedName>
    <definedName name="Factor_Year09">'[1]Discount Rate &amp; Matrix'!$C$15</definedName>
    <definedName name="Factor_Year10">'[1]Discount Rate &amp; Matrix'!$C$16</definedName>
    <definedName name="Factor_Year11">'[1]Discount Rate &amp; Matrix'!$C$17</definedName>
    <definedName name="FEB_PROD">#REF!</definedName>
    <definedName name="Field_Rates">[2]Field!$C$40:$AC$41</definedName>
    <definedName name="First_Negative_EZ_Cell">'[3]I130 OthRel L134D'!#REF!</definedName>
    <definedName name="First_Yr_Benefits">'[1]Centralized Assumptions'!$B$64</definedName>
    <definedName name="FirstCalcEndPendingCell">'[3]I130 OthRel L134D'!#REF!</definedName>
    <definedName name="FirstRawCell">[4]I485_IntvReady_Pending_Jan_2007!#REF!</definedName>
    <definedName name="form_table">#REF!</definedName>
    <definedName name="FringeTotal">'[1]2002 GS Rates'!$C$75</definedName>
    <definedName name="Health">'[1]2002 GS Rates'!$C$77</definedName>
    <definedName name="Hearing_Rooms">'[1]Centralized Assumptions'!$B$13</definedName>
    <definedName name="HoursPerWorkyear">#REF!</definedName>
    <definedName name="HW_Discount">'[1]Centralized Assumptions'!$B$25</definedName>
    <definedName name="I130_Denied_Fraud_Dec_2006">[5]I130_Denied_Fraud_Dec_2006!#REF!</definedName>
    <definedName name="I130_Denied_Fraud_Jan_2007">[4]I130_Denied_Fraud_Jan_2007!#REF!</definedName>
    <definedName name="I130_Interview_Ready_Dec_2006">[5]I130_Interview_Ready_Dec_2006!#REF!</definedName>
    <definedName name="I130_Interview_Ready_Jan_2007">[4]I130_Interview_Ready_Jan_2007!#REF!</definedName>
    <definedName name="I130_IntvReady_Pending_Dec_2006">[5]I130_IntvReady_Pending_Dec_2006!#REF!</definedName>
    <definedName name="I130_IntvReady_Pending_Jan_2007">[4]I130_IntvReady_Pending_Jan_2007!#REF!</definedName>
    <definedName name="I130_Merged_CPC_Dec_2006">[5]I130_Merged_CPC_Dec_2006!#REF!</definedName>
    <definedName name="I130_Merged_CPC_Jan_2007">[4]I130_Merged_CPC_Jan_2007!#REF!</definedName>
    <definedName name="I485_Initial_Receipts_Dec_2006">'[6]I130 Oth Rel, Line 134D'!#REF!</definedName>
    <definedName name="I485_Initial_Receipts_Jan_2007">'[7]I130 Oth Rel, Line 134D'!#REF!</definedName>
    <definedName name="I485_Merged_CPC_Dec_2006">[5]I485_Merged_CPC_Dec_2006!#REF!</definedName>
    <definedName name="I485_Merged_CPC_Jan_2007">[4]I485_Merged_CPC_Jan_2007!#REF!</definedName>
    <definedName name="Implementation_Plan">'[1]Centralized Assumptions'!$F$23:$G$32</definedName>
    <definedName name="Installation_Unit_Cost">'[1]Centralized Assumptions'!$B$39</definedName>
    <definedName name="JAN_PROD">#REF!</definedName>
    <definedName name="JUL_PROD">#REF!</definedName>
    <definedName name="JUN_PROD">#REF!</definedName>
    <definedName name="L131A_N">'[7]I130 Oth Rel, Line 134D'!#REF!</definedName>
    <definedName name="Laptop_Cost">'[1]Centralized Assumptions'!$B$24</definedName>
    <definedName name="Last_Negative_EZ_Cell">'[3]I130 OthRel L134D'!#REF!</definedName>
    <definedName name="LastDiscrepancyCell">'[3]I130 OthRel L134D'!#REF!</definedName>
    <definedName name="LastPrintAreaCell">'[3]I130 OthRel L134D'!#REF!</definedName>
    <definedName name="MAR_PROD">#REF!</definedName>
    <definedName name="MAY_PROD">#REF!</definedName>
    <definedName name="Medicare">'[1]2002 GS Rates'!$C$78</definedName>
    <definedName name="Merged_CPC_Dec_2006">[5]Merged_CPC_Dec_2006!#REF!</definedName>
    <definedName name="Merged_CPC_Jan_2007">[4]Merged_CPC_Jan_2007!#REF!</definedName>
    <definedName name="Microphone_Unit_Cost">'[1]Centralized Assumptions'!$B$35</definedName>
    <definedName name="Misc">'[1]2002 GS Rates'!$C$79</definedName>
    <definedName name="NOV_PROD">#REF!</definedName>
    <definedName name="OAO_Analysts">'[1]Centralized Assumptions'!$B$17</definedName>
    <definedName name="OAO_Contracts_Staff">'[1]Centralized Assumptions'!$B$21</definedName>
    <definedName name="OCALJ_Units">'[1]Centralized Assumptions'!$B$20</definedName>
    <definedName name="OCT_PROD">#REF!</definedName>
    <definedName name="Overhead">'[1]2002 GS Rates'!$C$81</definedName>
    <definedName name="Playback_per_AAJ">'[1]Centralized Assumptions'!$B$50</definedName>
    <definedName name="Playback_per_ALJ">'[1]Centralized Assumptions'!$B$47</definedName>
    <definedName name="Playback_per_Appeals_Officer">'[1]Centralized Assumptions'!$B$49</definedName>
    <definedName name="Playback_per_decision_writer">'[1]Centralized Assumptions'!$B$45</definedName>
    <definedName name="Playback_per_HO_Director">'[1]Centralized Assumptions'!$B$46</definedName>
    <definedName name="PLayback_per_OAO_Analyst">'[1]Centralized Assumptions'!$B$48</definedName>
    <definedName name="Playback_per_OAO_Contracts">'[1]Centralized Assumptions'!$B$52</definedName>
    <definedName name="Playback_per_OCALJ_Unit">'[1]Centralized Assumptions'!$B$51</definedName>
    <definedName name="Playback_Unit_Price">'[1]Centralized Assumptions'!$B$56</definedName>
    <definedName name="_xlnm.Print_Titles">#REF!</definedName>
    <definedName name="PROD_RPT">#REF!</definedName>
    <definedName name="Recorders_per_Remotes">'[1]Centralized Assumptions'!$B$31</definedName>
    <definedName name="Recorders_per_Room">'[1]Centralized Assumptions'!$B$30</definedName>
    <definedName name="Recurring_Maintenance">'[1]Centralized Assumptions'!$B$26</definedName>
    <definedName name="Regions">'[1]Sites by Region'!$L$6:$M$15</definedName>
    <definedName name="Remand_Benefit_Table">'[1]Caseload Projections'!$A$81:$N$90</definedName>
    <definedName name="Remote_Gap">'[1]Centralized Assumptions'!$G$14</definedName>
    <definedName name="Remote_Hearing_Rooms">'[1]Centralized Assumptions'!$B$14</definedName>
    <definedName name="Remotes_per_Site">'[1]Centralized Assumptions'!$C$14</definedName>
    <definedName name="Repair_Growth_Rate">'[1]Centralized Assumptions'!$B$81</definedName>
    <definedName name="Retirement">'[1]2002 GS Rates'!$C$76</definedName>
    <definedName name="rngYears">'[1]Centralized Assumptions'!#REF!</definedName>
    <definedName name="Room_Gap">'[1]Centralized Assumptions'!$G$13</definedName>
    <definedName name="Rooms_per_Site">'[1]Centralized Assumptions'!$C$13</definedName>
    <definedName name="SC_Rates">[2]SC!$C$42:$AC$44</definedName>
    <definedName name="SEP_PROD">#REF!</definedName>
    <definedName name="Shipping_Unit_Cost">'[1]Centralized Assumptions'!$B$23</definedName>
    <definedName name="SiteModel">#REF!</definedName>
    <definedName name="Sites_by_Region">'[1]Sites by Region'!$M$6:$N$15</definedName>
    <definedName name="Tbl_303_1_23_06">#REF!</definedName>
    <definedName name="Tbl303_new">#REF!</definedName>
    <definedName name="Tbl303_new_new">#REF!</definedName>
    <definedName name="Tbl303_newer">#REF!</definedName>
    <definedName name="Total_HOs">'[1]Sites by Region'!$N$17</definedName>
    <definedName name="Training_Unit_Cost">'[1]Centralized Assumptions'!$B$40</definedName>
    <definedName name="US_GS_Rates_Step_1">'[1]2002 GS Rates'!$A$25:$H$39</definedName>
    <definedName name="US_GSLevel">'[1]2002 GS Rates'!$A$5:$A$19</definedName>
    <definedName name="US_GSRates">'[1]2002 GS Rates'!$A$5:$H$19</definedName>
    <definedName name="Years">'[1]Cost Summary Constant $'!$B$5:$K$5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<sst xmlns="http://schemas.openxmlformats.org/spreadsheetml/2006/main" count="1009" uniqueCount="276">
  <si>
    <t>Number of Form N-400 Application for Naturalization</t>
  </si>
  <si>
    <t>By Category of Naturalization, Case Status, and USCIS Field Office Location</t>
  </si>
  <si>
    <t>October 1, 2025 - December 31, 2025</t>
  </si>
  <si>
    <t>Applications by Category and Case Status</t>
  </si>
  <si>
    <t>USCIS Field Office Location</t>
  </si>
  <si>
    <r>
      <t>Naturalization</t>
    </r>
    <r>
      <rPr>
        <b/>
        <vertAlign val="superscript"/>
        <sz val="10"/>
        <rFont val="Calibri"/>
        <family val="2"/>
        <scheme val="minor"/>
      </rPr>
      <t>1</t>
    </r>
  </si>
  <si>
    <r>
      <t>Naturalization (Military)</t>
    </r>
    <r>
      <rPr>
        <b/>
        <vertAlign val="superscript"/>
        <sz val="10"/>
        <rFont val="Calibri"/>
        <family val="2"/>
        <scheme val="minor"/>
      </rPr>
      <t>1</t>
    </r>
  </si>
  <si>
    <t>Total</t>
  </si>
  <si>
    <r>
      <t>Field Office by State</t>
    </r>
    <r>
      <rPr>
        <b/>
        <i/>
        <vertAlign val="superscript"/>
        <sz val="10"/>
        <rFont val="Calibri"/>
        <family val="2"/>
        <scheme val="minor"/>
      </rPr>
      <t>6</t>
    </r>
  </si>
  <si>
    <t>Field Office Code</t>
  </si>
  <si>
    <r>
      <t>Applications Received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</si>
  <si>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r>
      <t>Approved</t>
    </r>
    <r>
      <rPr>
        <b/>
        <vertAlign val="superscript"/>
        <sz val="10"/>
        <rFont val="Calibri"/>
        <family val="2"/>
        <scheme val="minor"/>
      </rPr>
      <t>3</t>
    </r>
  </si>
  <si>
    <r>
      <t>Denied</t>
    </r>
    <r>
      <rPr>
        <b/>
        <vertAlign val="superscript"/>
        <sz val="10"/>
        <rFont val="Calibri"/>
        <family val="2"/>
        <scheme val="minor"/>
      </rPr>
      <t>4</t>
    </r>
  </si>
  <si>
    <r>
      <t>Pending</t>
    </r>
    <r>
      <rPr>
        <b/>
        <vertAlign val="superscript"/>
        <sz val="10"/>
        <rFont val="Calibri"/>
        <family val="2"/>
        <scheme val="minor"/>
      </rPr>
      <t>5</t>
    </r>
  </si>
  <si>
    <r>
      <t>Approved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</si>
  <si>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t>Denied</t>
    </r>
    <r>
      <rPr>
        <b/>
        <vertAlign val="superscript"/>
        <sz val="10"/>
        <color theme="1"/>
        <rFont val="Calibri"/>
        <family val="2"/>
        <scheme val="minor"/>
      </rPr>
      <t>4</t>
    </r>
  </si>
  <si>
    <r>
      <t>Pending</t>
    </r>
    <r>
      <rPr>
        <b/>
        <vertAlign val="superscript"/>
        <sz val="10"/>
        <color theme="1"/>
        <rFont val="Calibri"/>
        <family val="2"/>
        <scheme val="minor"/>
      </rPr>
      <t>5</t>
    </r>
  </si>
  <si>
    <t>TOTAL</t>
  </si>
  <si>
    <t>Alabama</t>
  </si>
  <si>
    <t>Montgomery</t>
  </si>
  <si>
    <t>MGA</t>
  </si>
  <si>
    <t>D</t>
  </si>
  <si>
    <t>Alaska</t>
  </si>
  <si>
    <t xml:space="preserve"> </t>
  </si>
  <si>
    <t xml:space="preserve">Anchorage </t>
  </si>
  <si>
    <t>ANC</t>
  </si>
  <si>
    <t>Arizona</t>
  </si>
  <si>
    <t xml:space="preserve">Phoenix </t>
  </si>
  <si>
    <t>PHO</t>
  </si>
  <si>
    <t>Tucson</t>
  </si>
  <si>
    <t>TUC</t>
  </si>
  <si>
    <t>Arkansas</t>
  </si>
  <si>
    <t xml:space="preserve">Fort Smith </t>
  </si>
  <si>
    <t>FSA</t>
  </si>
  <si>
    <t>California</t>
  </si>
  <si>
    <t>Chula Vista</t>
  </si>
  <si>
    <t>CVC</t>
  </si>
  <si>
    <t xml:space="preserve">Fresno </t>
  </si>
  <si>
    <t>FRE</t>
  </si>
  <si>
    <t>Imperial</t>
  </si>
  <si>
    <t>IMP</t>
  </si>
  <si>
    <t xml:space="preserve">Los Angeles </t>
  </si>
  <si>
    <t>LOS</t>
  </si>
  <si>
    <t xml:space="preserve">Los Angeles County </t>
  </si>
  <si>
    <t>LAC</t>
  </si>
  <si>
    <t xml:space="preserve">Sacramento </t>
  </si>
  <si>
    <t>SAC</t>
  </si>
  <si>
    <t>San Bernardino</t>
  </si>
  <si>
    <t>SBD</t>
  </si>
  <si>
    <t xml:space="preserve">San Diego </t>
  </si>
  <si>
    <t>SND</t>
  </si>
  <si>
    <t>San Fernando Valley</t>
  </si>
  <si>
    <t>SFV</t>
  </si>
  <si>
    <t>San Francisco</t>
  </si>
  <si>
    <t>SFR</t>
  </si>
  <si>
    <t xml:space="preserve">San Jose </t>
  </si>
  <si>
    <t>SNJ</t>
  </si>
  <si>
    <t>Santa Ana</t>
  </si>
  <si>
    <t>SAA</t>
  </si>
  <si>
    <t>Colorado</t>
  </si>
  <si>
    <t xml:space="preserve">Denver </t>
  </si>
  <si>
    <t>DEN</t>
  </si>
  <si>
    <t>Connecticut</t>
  </si>
  <si>
    <t xml:space="preserve">Hartford </t>
  </si>
  <si>
    <t>HAR</t>
  </si>
  <si>
    <t>Delaware</t>
  </si>
  <si>
    <t>Dover AFB</t>
  </si>
  <si>
    <t>DVD</t>
  </si>
  <si>
    <t>District of Columbia</t>
  </si>
  <si>
    <t xml:space="preserve">Washington </t>
  </si>
  <si>
    <t>WAS</t>
  </si>
  <si>
    <t>Florida</t>
  </si>
  <si>
    <t>Fort Meyers</t>
  </si>
  <si>
    <t>OFM</t>
  </si>
  <si>
    <t>Hialeah</t>
  </si>
  <si>
    <t>HIA</t>
  </si>
  <si>
    <t>Jacksonville</t>
  </si>
  <si>
    <t>JAC</t>
  </si>
  <si>
    <t>Kendall</t>
  </si>
  <si>
    <t>KND</t>
  </si>
  <si>
    <t xml:space="preserve">Miami </t>
  </si>
  <si>
    <t>MIA</t>
  </si>
  <si>
    <t>Oakland Park</t>
  </si>
  <si>
    <t>OKL</t>
  </si>
  <si>
    <t xml:space="preserve">Orlando </t>
  </si>
  <si>
    <t>ORL</t>
  </si>
  <si>
    <t xml:space="preserve">Tampa </t>
  </si>
  <si>
    <t>TAM</t>
  </si>
  <si>
    <t>West Palm Beach</t>
  </si>
  <si>
    <t>WPB</t>
  </si>
  <si>
    <t>Georgia</t>
  </si>
  <si>
    <t xml:space="preserve">Atlanta </t>
  </si>
  <si>
    <t>ATL</t>
  </si>
  <si>
    <t>Hawaii</t>
  </si>
  <si>
    <t xml:space="preserve">Honolulu </t>
  </si>
  <si>
    <t>HHW</t>
  </si>
  <si>
    <t>Idaho</t>
  </si>
  <si>
    <t xml:space="preserve">Boise </t>
  </si>
  <si>
    <t>BOI</t>
  </si>
  <si>
    <t>Illinois</t>
  </si>
  <si>
    <t xml:space="preserve">Chicago </t>
  </si>
  <si>
    <t>CHI</t>
  </si>
  <si>
    <t>Indiana</t>
  </si>
  <si>
    <t xml:space="preserve">Indianapolis </t>
  </si>
  <si>
    <t>INP</t>
  </si>
  <si>
    <t>Iowa</t>
  </si>
  <si>
    <t>Des Moines</t>
  </si>
  <si>
    <t>DSM</t>
  </si>
  <si>
    <t>Kansas</t>
  </si>
  <si>
    <t>Wichita</t>
  </si>
  <si>
    <t>WIC</t>
  </si>
  <si>
    <t>Kentucky</t>
  </si>
  <si>
    <t xml:space="preserve">Louisville </t>
  </si>
  <si>
    <t>LOU</t>
  </si>
  <si>
    <t>Louisiana</t>
  </si>
  <si>
    <t xml:space="preserve">New Orleans </t>
  </si>
  <si>
    <t>NOL</t>
  </si>
  <si>
    <t>Maine</t>
  </si>
  <si>
    <t xml:space="preserve">Portland </t>
  </si>
  <si>
    <t>POM</t>
  </si>
  <si>
    <t>Maryland</t>
  </si>
  <si>
    <t xml:space="preserve">Baltimore </t>
  </si>
  <si>
    <t>BAL</t>
  </si>
  <si>
    <t>Massachusetts</t>
  </si>
  <si>
    <t xml:space="preserve">Boston </t>
  </si>
  <si>
    <t>BOS</t>
  </si>
  <si>
    <t>Lawrence</t>
  </si>
  <si>
    <t>LAW</t>
  </si>
  <si>
    <t>Michigan</t>
  </si>
  <si>
    <t xml:space="preserve">Detroit </t>
  </si>
  <si>
    <t>DET</t>
  </si>
  <si>
    <t>Minnesota</t>
  </si>
  <si>
    <t xml:space="preserve">St. Paul </t>
  </si>
  <si>
    <t>SPM</t>
  </si>
  <si>
    <t>Missouri</t>
  </si>
  <si>
    <t xml:space="preserve">Kansas City </t>
  </si>
  <si>
    <t>KAN</t>
  </si>
  <si>
    <t xml:space="preserve">St. Louis </t>
  </si>
  <si>
    <t>STL</t>
  </si>
  <si>
    <t>Montana</t>
  </si>
  <si>
    <t xml:space="preserve">Helena </t>
  </si>
  <si>
    <t>HEL</t>
  </si>
  <si>
    <t>Nebraska</t>
  </si>
  <si>
    <t xml:space="preserve">Omaha </t>
  </si>
  <si>
    <t>OMA</t>
  </si>
  <si>
    <t>Nevada</t>
  </si>
  <si>
    <t xml:space="preserve">Las Vegas </t>
  </si>
  <si>
    <t>LVG</t>
  </si>
  <si>
    <t xml:space="preserve">Reno </t>
  </si>
  <si>
    <t>REN</t>
  </si>
  <si>
    <t>New Hampshire</t>
  </si>
  <si>
    <t xml:space="preserve">Manchester </t>
  </si>
  <si>
    <t>MAN</t>
  </si>
  <si>
    <t>New Jersey</t>
  </si>
  <si>
    <t>Mount Laurel</t>
  </si>
  <si>
    <t>MTL</t>
  </si>
  <si>
    <t>New Jersey Central</t>
  </si>
  <si>
    <t>NJC</t>
  </si>
  <si>
    <t xml:space="preserve">Newark </t>
  </si>
  <si>
    <t>NEW</t>
  </si>
  <si>
    <t>New Mexico</t>
  </si>
  <si>
    <t xml:space="preserve">Albuquerque </t>
  </si>
  <si>
    <t>ABQ</t>
  </si>
  <si>
    <t>New York</t>
  </si>
  <si>
    <t xml:space="preserve">Albany </t>
  </si>
  <si>
    <t>ALB</t>
  </si>
  <si>
    <t>Brooklyn</t>
  </si>
  <si>
    <t>BNY</t>
  </si>
  <si>
    <t xml:space="preserve">Buffalo </t>
  </si>
  <si>
    <t>BUF</t>
  </si>
  <si>
    <t>Long Island</t>
  </si>
  <si>
    <t>LNY</t>
  </si>
  <si>
    <t xml:space="preserve">New York </t>
  </si>
  <si>
    <t>NYC</t>
  </si>
  <si>
    <t>Queens</t>
  </si>
  <si>
    <t>QNS</t>
  </si>
  <si>
    <t>North Carolina</t>
  </si>
  <si>
    <t xml:space="preserve">Charlotte </t>
  </si>
  <si>
    <t>CLT</t>
  </si>
  <si>
    <t>Raleigh</t>
  </si>
  <si>
    <t>RAL</t>
  </si>
  <si>
    <t>Ohio</t>
  </si>
  <si>
    <t xml:space="preserve">Cincinnati </t>
  </si>
  <si>
    <t>CIN</t>
  </si>
  <si>
    <t xml:space="preserve">Cleveland </t>
  </si>
  <si>
    <t>CLE</t>
  </si>
  <si>
    <t>Columbus</t>
  </si>
  <si>
    <t>CLM</t>
  </si>
  <si>
    <t>Oklahoma</t>
  </si>
  <si>
    <t xml:space="preserve">Oklahoma City </t>
  </si>
  <si>
    <t>OKC</t>
  </si>
  <si>
    <t>Oregon</t>
  </si>
  <si>
    <t>POO</t>
  </si>
  <si>
    <t>Pennsylvania</t>
  </si>
  <si>
    <t>Philadelphia</t>
  </si>
  <si>
    <t>PHI</t>
  </si>
  <si>
    <t xml:space="preserve">Pittsburgh </t>
  </si>
  <si>
    <t>PIT</t>
  </si>
  <si>
    <t>Rhode Island</t>
  </si>
  <si>
    <t xml:space="preserve">Providence </t>
  </si>
  <si>
    <t>PRO</t>
  </si>
  <si>
    <t>South Carolina</t>
  </si>
  <si>
    <t xml:space="preserve">Charleston </t>
  </si>
  <si>
    <t>CHL</t>
  </si>
  <si>
    <t>Greer</t>
  </si>
  <si>
    <t>GRR</t>
  </si>
  <si>
    <t>Tennessee</t>
  </si>
  <si>
    <t xml:space="preserve">Memphis </t>
  </si>
  <si>
    <t>MEM</t>
  </si>
  <si>
    <t>Nashville</t>
  </si>
  <si>
    <t>NTN</t>
  </si>
  <si>
    <t>Texas</t>
  </si>
  <si>
    <t xml:space="preserve">Dallas </t>
  </si>
  <si>
    <t>DAL</t>
  </si>
  <si>
    <t xml:space="preserve">El Paso </t>
  </si>
  <si>
    <t>ELP</t>
  </si>
  <si>
    <t xml:space="preserve">Harlingen </t>
  </si>
  <si>
    <t>HLG</t>
  </si>
  <si>
    <t xml:space="preserve">Houston </t>
  </si>
  <si>
    <t>HOU</t>
  </si>
  <si>
    <t xml:space="preserve">San Antonio </t>
  </si>
  <si>
    <t>SNA</t>
  </si>
  <si>
    <t>Utah</t>
  </si>
  <si>
    <t xml:space="preserve">Salt Lake City </t>
  </si>
  <si>
    <t>SLC</t>
  </si>
  <si>
    <t>Vermont</t>
  </si>
  <si>
    <t xml:space="preserve">St. Albans </t>
  </si>
  <si>
    <t>STA</t>
  </si>
  <si>
    <t>Virginia</t>
  </si>
  <si>
    <t xml:space="preserve">Norfolk </t>
  </si>
  <si>
    <t>NOR</t>
  </si>
  <si>
    <t>Washington</t>
  </si>
  <si>
    <t xml:space="preserve">Seattle </t>
  </si>
  <si>
    <t>SEA</t>
  </si>
  <si>
    <t xml:space="preserve">Spokane </t>
  </si>
  <si>
    <t>SPO</t>
  </si>
  <si>
    <t>Yakima</t>
  </si>
  <si>
    <t>YAK</t>
  </si>
  <si>
    <t>West Virginia</t>
  </si>
  <si>
    <t>CHS</t>
  </si>
  <si>
    <t>Wisconsin</t>
  </si>
  <si>
    <t xml:space="preserve">Milwaukee </t>
  </si>
  <si>
    <t>MIL</t>
  </si>
  <si>
    <r>
      <t>Field Office by Territory</t>
    </r>
    <r>
      <rPr>
        <b/>
        <i/>
        <vertAlign val="superscript"/>
        <sz val="10"/>
        <rFont val="Calibri"/>
        <family val="2"/>
        <scheme val="minor"/>
      </rPr>
      <t>6</t>
    </r>
  </si>
  <si>
    <t>Guam</t>
  </si>
  <si>
    <t>Agana</t>
  </si>
  <si>
    <t>AGA</t>
  </si>
  <si>
    <t>U.S. Virgin Islands</t>
  </si>
  <si>
    <t>Charlotte Amalie</t>
  </si>
  <si>
    <t>CHA</t>
  </si>
  <si>
    <t xml:space="preserve">Christiansted </t>
  </si>
  <si>
    <t>CHR</t>
  </si>
  <si>
    <t>Puerto Rico</t>
  </si>
  <si>
    <t xml:space="preserve">San Juan </t>
  </si>
  <si>
    <t>SAJ</t>
  </si>
  <si>
    <t>Table Key:</t>
  </si>
  <si>
    <t>D  Disclosure standards not met.</t>
  </si>
  <si>
    <t>- Represents zero.</t>
  </si>
  <si>
    <t>References:</t>
  </si>
  <si>
    <r>
      <rPr>
        <vertAlign val="superscript"/>
        <sz val="9"/>
        <color theme="1"/>
        <rFont val="Calibri"/>
        <family val="2"/>
        <scheme val="minor"/>
      </rPr>
      <t xml:space="preserve">1 </t>
    </r>
    <r>
      <rPr>
        <sz val="9"/>
        <color theme="1"/>
        <rFont val="Calibri"/>
        <family val="2"/>
        <scheme val="minor"/>
      </rPr>
      <t>"Military Naturalization" refer to applicants whose eligibility relies on service in the U.S. armed forces. All other Form N-400 naturalizations, are included in "Naturalization." Total includes both general and military naturalization.</t>
    </r>
  </si>
  <si>
    <r>
      <rPr>
        <vertAlign val="superscript"/>
        <sz val="9"/>
        <color theme="1"/>
        <rFont val="Calibri"/>
        <family val="2"/>
        <scheme val="minor"/>
      </rPr>
      <t xml:space="preserve">2 </t>
    </r>
    <r>
      <rPr>
        <sz val="9"/>
        <color theme="1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</si>
  <si>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</si>
  <si>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9"/>
        <color theme="1"/>
        <rFont val="Calibri"/>
        <family val="2"/>
        <scheme val="minor"/>
      </rPr>
      <t xml:space="preserve">4 </t>
    </r>
    <r>
      <rPr>
        <sz val="9"/>
        <color theme="1"/>
        <rFont val="Calibri"/>
        <family val="2"/>
        <scheme val="minor"/>
      </rPr>
      <t>The number of applications denied during the reporting period.</t>
    </r>
  </si>
  <si>
    <r>
      <rPr>
        <vertAlign val="superscript"/>
        <sz val="9"/>
        <color theme="1"/>
        <rFont val="Calibri"/>
        <family val="2"/>
        <scheme val="minor"/>
      </rPr>
      <t>5</t>
    </r>
    <r>
      <rPr>
        <sz val="9"/>
        <color theme="1"/>
        <rFont val="Calibri"/>
        <family val="2"/>
        <scheme val="minor"/>
      </rPr>
      <t xml:space="preserve"> The number of applications awaiting a decision as of the end of the reporting period. Some actions taken on cases are not reflected in this report such as administrative closures and transfers between offices; </t>
    </r>
  </si>
  <si>
    <t xml:space="preserve">   thus the total pending counts cannot be calculated using data from previous reporting periods.</t>
  </si>
  <si>
    <r>
      <rPr>
        <vertAlign val="superscript"/>
        <sz val="9"/>
        <rFont val="Calibri"/>
        <family val="2"/>
        <scheme val="minor"/>
      </rPr>
      <t>6</t>
    </r>
    <r>
      <rPr>
        <sz val="9"/>
        <rFont val="Calibri"/>
        <family val="2"/>
        <scheme val="minor"/>
      </rPr>
      <t xml:space="preserve"> Represents the office location. The office location does not reflect the complete area covered by the office’s jurisdiction. Please refer to USCIS.gov for office jurisdictions.</t>
    </r>
  </si>
  <si>
    <t>Notes:</t>
  </si>
  <si>
    <t xml:space="preserve">1) Some applications approved, denied, or pending a decision may have been received in previous reporting periods. </t>
  </si>
  <si>
    <t>2) The report reflects the most up-to-date data available at the time the database is queried.</t>
  </si>
  <si>
    <t>3) These counts do not include international offices.</t>
  </si>
  <si>
    <t>4) Many USCIS international offices have permanently closed in the last two years; for a list of those offices, please see https://www.uscis.gov/about-us/uscis-office-closings</t>
  </si>
  <si>
    <t>5) Counts may differ from previous periods due to system updates and post-adjudicative outcomes.</t>
  </si>
  <si>
    <t>6) For a complete list of USCIS forms and descriptions, visit https://www.uscis.gov/forms</t>
  </si>
  <si>
    <t>Source:</t>
  </si>
  <si>
    <t>Department of Homeland Security, U.S. Citizenship and Immigration Services, Office of Performance and Quality</t>
  </si>
  <si>
    <t>ELIS, NPD, queried 1/2026, PAER0020066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</si>
</sst>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1" x14ac:knownFonts="1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vertAlign val="superscript"/>
      <sz val="10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b/>
      <i/>
      <sz val="1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77">
    <xf numFmtId="0" fontId="0" fillId="0" borderId="0" xfId="0"/>
    <xf numFmtId="49" fontId="2" fillId="2" borderId="1" xfId="1" applyNumberFormat="1" applyFont="1" applyFill="1" applyBorder="1"/>
    <xf numFmtId="49" fontId="3" fillId="2" borderId="0" xfId="1" applyNumberFormat="1" applyFont="1" applyFill="1" applyAlignment="1">
      <alignment horizontal="center"/>
    </xf>
    <xf numFmtId="0" fontId="3" fillId="2" borderId="0" xfId="1" applyFont="1" applyFill="1"/>
    <xf numFmtId="0" fontId="3" fillId="2" borderId="2" xfId="1" applyFont="1" applyFill="1" applyBorder="1"/>
    <xf numFmtId="0" fontId="1" fillId="0" borderId="0" xfId="1"/>
    <xf numFmtId="49" fontId="2" fillId="2" borderId="0" xfId="1" applyNumberFormat="1" applyFont="1" applyFill="1" applyAlignment="1">
      <alignment horizontal="center"/>
    </xf>
    <xf numFmtId="0" fontId="2" fillId="2" borderId="0" xfId="1" applyFont="1" applyFill="1"/>
    <xf numFmtId="0" fontId="2" fillId="2" borderId="2" xfId="1" applyFont="1" applyFill="1" applyBorder="1"/>
    <xf numFmtId="49" fontId="4" fillId="3" borderId="3" xfId="1" applyNumberFormat="1" applyFont="1" applyFill="1" applyBorder="1" applyAlignment="1">
      <alignment horizontal="centerContinuous"/>
    </xf>
    <xf numFmtId="49" fontId="4" fillId="3" borderId="4" xfId="1" applyNumberFormat="1" applyFont="1" applyFill="1" applyBorder="1" applyAlignment="1">
      <alignment horizontal="center" wrapText="1"/>
    </xf>
    <xf numFmtId="49" fontId="4" fillId="4" borderId="14" xfId="1" applyNumberFormat="1" applyFont="1" applyFill="1" applyBorder="1"/>
    <xf numFmtId="49" fontId="4" fillId="4" borderId="12" xfId="1" applyNumberFormat="1" applyFont="1" applyFill="1" applyBorder="1"/>
    <xf numFmtId="49" fontId="6" fillId="3" borderId="15" xfId="1" applyNumberFormat="1" applyFont="1" applyFill="1" applyBorder="1" applyAlignment="1">
      <alignment horizontal="center" wrapText="1"/>
    </xf>
    <xf numFmtId="49" fontId="4" fillId="3" borderId="15" xfId="1" applyNumberFormat="1" applyFont="1" applyFill="1" applyBorder="1" applyAlignment="1">
      <alignment horizontal="center" wrapText="1"/>
    </xf>
    <xf numFmtId="49" fontId="4" fillId="3" borderId="15" xfId="1" applyNumberFormat="1" applyFont="1" applyFill="1" applyBorder="1" applyAlignment="1">
      <alignment horizontal="center"/>
    </xf>
    <xf numFmtId="49" fontId="6" fillId="3" borderId="15" xfId="1" applyNumberFormat="1" applyFont="1" applyFill="1" applyBorder="1" applyAlignment="1">
      <alignment horizontal="center"/>
    </xf>
    <xf numFmtId="49" fontId="6" fillId="3" borderId="16" xfId="1" applyNumberFormat="1" applyFont="1" applyFill="1" applyBorder="1" applyAlignment="1">
      <alignment horizontal="center"/>
    </xf>
    <xf numFmtId="49" fontId="4" fillId="4" borderId="17" xfId="1" applyNumberFormat="1" applyFont="1" applyFill="1" applyBorder="1"/>
    <xf numFmtId="49" fontId="9" fillId="4" borderId="12" xfId="1" applyNumberFormat="1" applyFont="1" applyFill="1" applyBorder="1" applyAlignment="1">
      <alignment horizontal="center"/>
    </xf>
    <xf numFmtId="164" fontId="4" fillId="4" borderId="15" xfId="1" applyNumberFormat="1" applyFont="1" applyFill="1" applyBorder="1" applyAlignment="1">
      <alignment horizontal="right"/>
    </xf>
    <xf numFmtId="164" fontId="4" fillId="4" borderId="16" xfId="1" applyNumberFormat="1" applyFont="1" applyFill="1" applyBorder="1" applyAlignment="1">
      <alignment horizontal="right"/>
    </xf>
    <xf numFmtId="49" fontId="10" fillId="5" borderId="14" xfId="1" applyNumberFormat="1" applyFont="1" applyFill="1" applyBorder="1"/>
    <xf numFmtId="49" fontId="10" fillId="5" borderId="12" xfId="1" applyNumberFormat="1" applyFont="1" applyFill="1" applyBorder="1" applyAlignment="1">
      <alignment horizontal="center"/>
    </xf>
    <xf numFmtId="164" fontId="11" fillId="5" borderId="15" xfId="1" applyNumberFormat="1" applyFont="1" applyFill="1" applyBorder="1" applyAlignment="1">
      <alignment horizontal="right"/>
    </xf>
    <xf numFmtId="164" fontId="11" fillId="5" borderId="16" xfId="1" applyNumberFormat="1" applyFont="1" applyFill="1" applyBorder="1" applyAlignment="1">
      <alignment horizontal="right"/>
    </xf>
    <xf numFmtId="49" fontId="10" fillId="6" borderId="14" xfId="1" applyNumberFormat="1" applyFont="1" applyFill="1" applyBorder="1" applyAlignment="1">
      <alignment horizontal="left"/>
    </xf>
    <xf numFmtId="49" fontId="10" fillId="0" borderId="12" xfId="1" applyNumberFormat="1" applyFont="1" applyBorder="1" applyAlignment="1">
      <alignment horizontal="center"/>
    </xf>
    <xf numFmtId="164" fontId="12" fillId="0" borderId="15" xfId="1" applyNumberFormat="1" applyFont="1" applyBorder="1" applyAlignment="1">
      <alignment horizontal="right" vertical="center" wrapText="1"/>
    </xf>
    <xf numFmtId="164" fontId="12" fillId="0" borderId="16" xfId="1" applyNumberFormat="1" applyFont="1" applyBorder="1" applyAlignment="1">
      <alignment horizontal="right" vertical="center" wrapText="1"/>
    </xf>
    <xf numFmtId="164" fontId="12" fillId="4" borderId="15" xfId="1" applyNumberFormat="1" applyFont="1" applyFill="1" applyBorder="1" applyAlignment="1">
      <alignment horizontal="right" vertical="center" wrapText="1"/>
    </xf>
    <xf numFmtId="164" fontId="12" fillId="4" borderId="16" xfId="1" applyNumberFormat="1" applyFont="1" applyFill="1" applyBorder="1" applyAlignment="1">
      <alignment horizontal="right" vertical="center" wrapText="1"/>
    </xf>
    <xf numFmtId="49" fontId="10" fillId="4" borderId="14" xfId="1" applyNumberFormat="1" applyFont="1" applyFill="1" applyBorder="1"/>
    <xf numFmtId="49" fontId="10" fillId="4" borderId="12" xfId="1" applyNumberFormat="1" applyFont="1" applyFill="1" applyBorder="1" applyAlignment="1">
      <alignment horizontal="center"/>
    </xf>
    <xf numFmtId="49" fontId="10" fillId="6" borderId="12" xfId="1" applyNumberFormat="1" applyFont="1" applyFill="1" applyBorder="1" applyAlignment="1">
      <alignment horizontal="center"/>
    </xf>
    <xf numFmtId="164" fontId="12" fillId="4" borderId="15" xfId="1" applyNumberFormat="1" applyFont="1" applyFill="1" applyBorder="1" applyAlignment="1">
      <alignment vertical="center" wrapText="1"/>
    </xf>
    <xf numFmtId="164" fontId="12" fillId="4" borderId="16" xfId="1" applyNumberFormat="1" applyFont="1" applyFill="1" applyBorder="1" applyAlignment="1">
      <alignment vertical="center" wrapText="1"/>
    </xf>
    <xf numFmtId="49" fontId="13" fillId="6" borderId="14" xfId="1" applyNumberFormat="1" applyFont="1" applyFill="1" applyBorder="1" applyAlignment="1">
      <alignment horizontal="left"/>
    </xf>
    <xf numFmtId="49" fontId="10" fillId="6" borderId="11" xfId="1" applyNumberFormat="1" applyFont="1" applyFill="1" applyBorder="1" applyAlignment="1">
      <alignment horizontal="center"/>
    </xf>
    <xf numFmtId="164" fontId="10" fillId="6" borderId="11" xfId="1" applyNumberFormat="1" applyFont="1" applyFill="1" applyBorder="1"/>
    <xf numFmtId="164" fontId="10" fillId="6" borderId="13" xfId="1" applyNumberFormat="1" applyFont="1" applyFill="1" applyBorder="1"/>
    <xf numFmtId="49" fontId="10" fillId="4" borderId="9" xfId="1" applyNumberFormat="1" applyFont="1" applyFill="1" applyBorder="1" applyAlignment="1">
      <alignment horizontal="center"/>
    </xf>
    <xf numFmtId="164" fontId="12" fillId="4" borderId="18" xfId="1" applyNumberFormat="1" applyFont="1" applyFill="1" applyBorder="1" applyAlignment="1">
      <alignment horizontal="right" vertical="center" wrapText="1"/>
    </xf>
    <xf numFmtId="164" fontId="12" fillId="4" borderId="19" xfId="1" applyNumberFormat="1" applyFont="1" applyFill="1" applyBorder="1" applyAlignment="1">
      <alignment horizontal="right" vertical="center" wrapText="1"/>
    </xf>
    <xf numFmtId="49" fontId="10" fillId="6" borderId="20" xfId="1" applyNumberFormat="1" applyFont="1" applyFill="1" applyBorder="1" applyAlignment="1">
      <alignment horizontal="left"/>
    </xf>
    <xf numFmtId="49" fontId="10" fillId="0" borderId="21" xfId="1" applyNumberFormat="1" applyFont="1" applyBorder="1" applyAlignment="1">
      <alignment horizontal="center"/>
    </xf>
    <xf numFmtId="164" fontId="12" fillId="0" borderId="22" xfId="1" applyNumberFormat="1" applyFont="1" applyBorder="1" applyAlignment="1">
      <alignment horizontal="right" vertical="center" wrapText="1"/>
    </xf>
    <xf numFmtId="164" fontId="12" fillId="0" borderId="23" xfId="1" applyNumberFormat="1" applyFont="1" applyBorder="1" applyAlignment="1">
      <alignment horizontal="right" vertical="center" wrapText="1"/>
    </xf>
    <xf numFmtId="49" fontId="14" fillId="0" borderId="0" xfId="1" applyNumberFormat="1" applyFont="1"/>
    <xf numFmtId="49" fontId="15" fillId="6" borderId="0" xfId="1" applyNumberFormat="1" applyFont="1" applyFill="1" applyAlignment="1">
      <alignment horizontal="center"/>
    </xf>
    <xf numFmtId="49" fontId="15" fillId="6" borderId="0" xfId="1" applyNumberFormat="1" applyFont="1" applyFill="1" applyAlignment="1">
      <alignment horizontal="left"/>
    </xf>
    <xf numFmtId="49" fontId="15" fillId="6" borderId="0" xfId="1" applyNumberFormat="1" applyFont="1" applyFill="1"/>
    <xf numFmtId="49" fontId="16" fillId="6" borderId="0" xfId="1" quotePrefix="1" applyNumberFormat="1" applyFont="1" applyFill="1"/>
    <xf numFmtId="49" fontId="16" fillId="6" borderId="0" xfId="1" quotePrefix="1" applyNumberFormat="1" applyFont="1" applyFill="1" applyAlignment="1">
      <alignment horizontal="center"/>
    </xf>
    <xf numFmtId="49" fontId="16" fillId="6" borderId="0" xfId="1" quotePrefix="1" applyNumberFormat="1" applyFont="1" applyFill="1" applyAlignment="1">
      <alignment horizontal="left"/>
    </xf>
    <xf numFmtId="49" fontId="14" fillId="6" borderId="0" xfId="1" quotePrefix="1" applyNumberFormat="1" applyFont="1" applyFill="1" applyAlignment="1">
      <alignment horizontal="left"/>
    </xf>
    <xf numFmtId="49" fontId="14" fillId="6" borderId="0" xfId="1" quotePrefix="1" applyNumberFormat="1" applyFont="1" applyFill="1" applyAlignment="1">
      <alignment horizontal="center"/>
    </xf>
    <xf numFmtId="49" fontId="16" fillId="6" borderId="0" xfId="1" applyNumberFormat="1" applyFont="1" applyFill="1" applyAlignment="1">
      <alignment horizontal="left"/>
    </xf>
    <xf numFmtId="49" fontId="16" fillId="6" borderId="0" xfId="1" applyNumberFormat="1" applyFont="1" applyFill="1" applyAlignment="1">
      <alignment horizontal="center" wrapText="1"/>
    </xf>
    <xf numFmtId="49" fontId="16" fillId="6" borderId="0" xfId="1" applyNumberFormat="1" applyFont="1" applyFill="1" applyAlignment="1">
      <alignment horizontal="left" wrapText="1"/>
    </xf>
    <xf numFmtId="49" fontId="16" fillId="6" borderId="0" xfId="1" applyNumberFormat="1" applyFont="1" applyFill="1" applyAlignment="1">
      <alignment horizontal="center"/>
    </xf>
    <xf numFmtId="49" fontId="14" fillId="6" borderId="0" xfId="1" applyNumberFormat="1" applyFont="1" applyFill="1" applyAlignment="1">
      <alignment horizontal="left"/>
    </xf>
    <xf numFmtId="49" fontId="14" fillId="6" borderId="0" xfId="1" applyNumberFormat="1" applyFont="1" applyFill="1" applyAlignment="1">
      <alignment horizontal="center"/>
    </xf>
    <xf numFmtId="49" fontId="20" fillId="0" borderId="0" xfId="2" applyNumberFormat="1" applyFont="1"/>
    <xf numFmtId="49" fontId="1" fillId="0" borderId="0" xfId="1" applyNumberFormat="1"/>
    <xf numFmtId="49" fontId="1" fillId="0" borderId="0" xfId="1" applyNumberFormat="1" applyAlignment="1">
      <alignment horizontal="center"/>
    </xf>
    <xf numFmtId="49" fontId="4" fillId="3" borderId="5" xfId="1" applyNumberFormat="1" applyFont="1" applyFill="1" applyBorder="1" applyAlignment="1">
      <alignment horizontal="center"/>
    </xf>
    <xf numFmtId="49" fontId="4" fillId="3" borderId="6" xfId="1" applyNumberFormat="1" applyFont="1" applyFill="1" applyBorder="1" applyAlignment="1">
      <alignment horizontal="center"/>
    </xf>
    <xf numFmtId="49" fontId="4" fillId="3" borderId="7" xfId="1" applyNumberFormat="1" applyFont="1" applyFill="1" applyBorder="1" applyAlignment="1">
      <alignment horizontal="center"/>
    </xf>
    <xf numFmtId="49" fontId="4" fillId="3" borderId="8" xfId="1" applyNumberFormat="1" applyFont="1" applyFill="1" applyBorder="1" applyAlignment="1">
      <alignment horizontal="center"/>
    </xf>
    <xf numFmtId="49" fontId="4" fillId="3" borderId="9" xfId="1" applyNumberFormat="1" applyFont="1" applyFill="1" applyBorder="1" applyAlignment="1">
      <alignment horizontal="center"/>
    </xf>
    <xf numFmtId="49" fontId="4" fillId="3" borderId="10" xfId="1" applyNumberFormat="1" applyFont="1" applyFill="1" applyBorder="1" applyAlignment="1">
      <alignment horizontal="center"/>
    </xf>
    <xf numFmtId="49" fontId="4" fillId="3" borderId="11" xfId="1" applyNumberFormat="1" applyFont="1" applyFill="1" applyBorder="1" applyAlignment="1">
      <alignment horizontal="center"/>
    </xf>
    <xf numFmtId="49" fontId="4" fillId="3" borderId="12" xfId="1" applyNumberFormat="1" applyFont="1" applyFill="1" applyBorder="1" applyAlignment="1">
      <alignment horizontal="center"/>
    </xf>
    <xf numFmtId="164" fontId="6" fillId="3" borderId="10" xfId="1" applyNumberFormat="1" applyFont="1" applyFill="1" applyBorder="1" applyAlignment="1">
      <alignment horizontal="center"/>
    </xf>
    <xf numFmtId="164" fontId="6" fillId="3" borderId="11" xfId="1" applyNumberFormat="1" applyFont="1" applyFill="1" applyBorder="1" applyAlignment="1">
      <alignment horizontal="center"/>
    </xf>
    <xf numFmtId="164" fontId="6" fillId="3" borderId="13" xfId="1" applyNumberFormat="1" applyFont="1" applyFill="1" applyBorder="1" applyAlignment="1">
      <alignment horizontal="center"/>
    </xf>
  </cellXfs>
  <cellStyles count="3">
    <cellStyle name="Normal" xfId="0" builtinId="0"/>
    <cellStyle name="Normal 2 2" xfId="1" xr:uid="{3174EF61-7DAD-4975-9A4A-948ACCB97DB3}"/>
    <cellStyle name="Normal 3" xfId="2" xr:uid="{36298270-DCA5-44C4-931C-5A8938604FF7}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158750</xdr:colOff>
      <xdr:row>0</xdr:row>
      <xdr:rowOff>1</xdr:rowOff>
    </xdr:from>
    <xdr:to>
      <xdr:col>13</xdr:col>
      <xdr:colOff>675026</xdr:colOff>
      <xdr:row>3</xdr:row>
      <xdr:rowOff>1426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CBBD79A6-AA51-416D-AEDA-5322D508C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6225" y="1"/>
          <a:ext cx="1935501" cy="582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macfarl\Local%20Settings\Temporary%20Internet%20Files\OLK14\Monthly%20Data\DIT%20Databases\DOCUME~1\027471\LOCALS~1\Temp\OHA%20DR%20Cost-Benefit%20Model%20v4.0%20Revised%20FINAL%2004-15-02%20NYC%20trai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macfarl\Local%20Settings\Temporary%20Internet%20Files\OLK1EB\IMAPs_Rates_wIBIS_Aug07Templa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sgov-my.sharepoint.com/MAPS/IMAPS/Western%20Region/Oct%2008/PHO-PHO_Oct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sgov-my.sharepoint.com/NBC%20G22%20Database/G22%20CLAIMS%20Detail%20Database/G22%20Data/200701/G22%20Totals%202007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sgov-my.sharepoint.com/NBC%20G22%20Database/G22%20CLAIMS%20Detail%20Database/G22%20Data/200701/G22%20Totals%202006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sgov-my.sharepoint.com/NBC%20G22%20Database/G22%20CLAIMS%20Detail%20Database/G22%20Data/200701/200701/PAS_N_20061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sgov-my.sharepoint.com/NBC%20G22%20Database/G22%20CLAIMS%20Detail%20Database/G22%20Data/200701/PAS_N_200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igation"/>
      <sheetName val="Cost Data"/>
      <sheetName val="Benefit Data"/>
      <sheetName val="Centralized Assumptions"/>
      <sheetName val="Financial Summary"/>
      <sheetName val="Cost Summary Constant $"/>
      <sheetName val="Cost Summary Then Year $"/>
      <sheetName val="Cost Summary Discounted $"/>
      <sheetName val="Cost Inflation Assumptions"/>
      <sheetName val="Cost Inflation Index"/>
      <sheetName val="Benefits Summary Constant $"/>
      <sheetName val="Benefits Summary Then Year $"/>
      <sheetName val="Benefits Summary Discounted $"/>
      <sheetName val="Benefit Inflation Assumptions"/>
      <sheetName val="Benefit Inflation Index"/>
      <sheetName val="Discount Rate &amp; Matrix"/>
      <sheetName val="2002 GS Rates"/>
      <sheetName val="Caseload Projections"/>
      <sheetName val="Sites by Region"/>
      <sheetName val="Equipment Configurations"/>
      <sheetName val="Drop-Down Lists"/>
    </sheetNames>
    <sheetDataSet>
      <sheetData sheetId="0" refreshError="1"/>
      <sheetData sheetId="1" refreshError="1">
        <row r="2">
          <cell r="A2" t="str">
            <v>1.0 Project Development</v>
          </cell>
        </row>
        <row r="3">
          <cell r="A3" t="str">
            <v xml:space="preserve">     1.1 Project Planning and Management</v>
          </cell>
        </row>
        <row r="4">
          <cell r="A4" t="str">
            <v xml:space="preserve">          1.1.1 Government Labor</v>
          </cell>
          <cell r="B4">
            <v>263954.03220000002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A5" t="str">
            <v>FTEs</v>
          </cell>
          <cell r="B5">
            <v>2</v>
          </cell>
        </row>
        <row r="6">
          <cell r="A6" t="str">
            <v>Months</v>
          </cell>
          <cell r="B6">
            <v>12</v>
          </cell>
        </row>
        <row r="7">
          <cell r="A7" t="str">
            <v>GS level</v>
          </cell>
          <cell r="B7">
            <v>14</v>
          </cell>
          <cell r="C7" t="str">
            <v xml:space="preserve">                                        </v>
          </cell>
        </row>
        <row r="8">
          <cell r="A8" t="str">
            <v>Labor Rate (loaded monthly)</v>
          </cell>
          <cell r="B8">
            <v>10998.084673333333</v>
          </cell>
        </row>
        <row r="10">
          <cell r="B10">
            <v>263954.03216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2">
          <cell r="A12" t="str">
            <v xml:space="preserve">          1.1.2 Contractor Labor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A13" t="str">
            <v>FTEs</v>
          </cell>
        </row>
        <row r="14">
          <cell r="A14" t="str">
            <v>Months</v>
          </cell>
        </row>
        <row r="15">
          <cell r="A15" t="str">
            <v>Labor Rate (loaded monthly)</v>
          </cell>
          <cell r="B15">
            <v>16466.666666666668</v>
          </cell>
        </row>
        <row r="17">
          <cell r="A17" t="str">
            <v xml:space="preserve">          1.1.3 Miscellaneous Costs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A18" t="str">
            <v>Material</v>
          </cell>
        </row>
        <row r="19">
          <cell r="A19" t="str">
            <v>Travel</v>
          </cell>
        </row>
        <row r="20">
          <cell r="A20" t="str">
            <v>Other</v>
          </cell>
        </row>
        <row r="22">
          <cell r="A22" t="str">
            <v xml:space="preserve">     1.2 Requirements Definition</v>
          </cell>
        </row>
        <row r="23">
          <cell r="A23" t="str">
            <v xml:space="preserve">          1.2.1 Government Labor</v>
          </cell>
        </row>
        <row r="24">
          <cell r="A24" t="str">
            <v>FTEs</v>
          </cell>
        </row>
        <row r="25">
          <cell r="A25" t="str">
            <v>Months</v>
          </cell>
        </row>
        <row r="26">
          <cell r="A26" t="str">
            <v>GS level</v>
          </cell>
        </row>
        <row r="27">
          <cell r="A27" t="str">
            <v>Labor Rate (loaded monthly)</v>
          </cell>
          <cell r="B27" t="str">
            <v/>
          </cell>
        </row>
        <row r="29">
          <cell r="B29">
            <v>155112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1">
          <cell r="A31" t="str">
            <v xml:space="preserve">          1.2.2 Contractor Labor</v>
          </cell>
          <cell r="B31">
            <v>155112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A32" t="str">
            <v>FTEs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A33" t="str">
            <v>Months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A34" t="str">
            <v>Labor Rate (loaded monthly)</v>
          </cell>
          <cell r="B34">
            <v>16466.666666666668</v>
          </cell>
        </row>
        <row r="36">
          <cell r="A36" t="str">
            <v xml:space="preserve">          1.2.3 Miscellaneous Costs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  <row r="37">
          <cell r="A37" t="str">
            <v>Material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38">
          <cell r="A38" t="str">
            <v>Travel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</row>
        <row r="39">
          <cell r="A39" t="str">
            <v>Other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</row>
        <row r="41">
          <cell r="A41" t="str">
            <v xml:space="preserve">     1.3 Product Selection</v>
          </cell>
        </row>
        <row r="42">
          <cell r="A42" t="str">
            <v xml:space="preserve">          1.3.1 Government Labor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</row>
        <row r="43">
          <cell r="A43" t="str">
            <v>FTEs</v>
          </cell>
        </row>
        <row r="44">
          <cell r="A44" t="str">
            <v>Months</v>
          </cell>
        </row>
        <row r="45">
          <cell r="A45" t="str">
            <v>GS level</v>
          </cell>
        </row>
        <row r="46">
          <cell r="A46" t="str">
            <v>Labor Rate (loaded monthly)</v>
          </cell>
          <cell r="B46" t="str">
            <v/>
          </cell>
        </row>
        <row r="48">
          <cell r="A48" t="str">
            <v xml:space="preserve">          1.3.2 Contractor Labor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  <row r="49">
          <cell r="A49" t="str">
            <v>FTEs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0">
          <cell r="A50" t="str">
            <v>Months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</row>
        <row r="51">
          <cell r="A51" t="str">
            <v>Labor Rate (loaded monthly)</v>
          </cell>
          <cell r="B51">
            <v>16466.666666666668</v>
          </cell>
        </row>
        <row r="53">
          <cell r="A53" t="str">
            <v xml:space="preserve">          1.3.3 Miscellaneous Costs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A54" t="str">
            <v>Material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</row>
        <row r="55">
          <cell r="A55" t="str">
            <v>Travel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</row>
        <row r="56">
          <cell r="A56" t="str">
            <v>Other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</row>
        <row r="58">
          <cell r="A58" t="str">
            <v xml:space="preserve">     1.4 Concept Design and Prototype</v>
          </cell>
        </row>
        <row r="59">
          <cell r="A59" t="str">
            <v xml:space="preserve">          1.4.1 Government Labor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</row>
        <row r="60">
          <cell r="A60" t="str">
            <v>FTEs</v>
          </cell>
        </row>
        <row r="61">
          <cell r="A61" t="str">
            <v>Months</v>
          </cell>
        </row>
        <row r="62">
          <cell r="A62" t="str">
            <v>GS level</v>
          </cell>
        </row>
        <row r="63">
          <cell r="A63" t="str">
            <v>Labor Rate (loaded monthly)</v>
          </cell>
          <cell r="B63" t="str">
            <v/>
          </cell>
        </row>
        <row r="65">
          <cell r="A65" t="str">
            <v xml:space="preserve">          1.4.2 Contractor Labor</v>
          </cell>
          <cell r="B65">
            <v>658666.66669999994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</row>
        <row r="66">
          <cell r="A66" t="str">
            <v>FTEs</v>
          </cell>
          <cell r="B66">
            <v>5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A67" t="str">
            <v>Months</v>
          </cell>
          <cell r="B67">
            <v>8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</row>
        <row r="68">
          <cell r="A68" t="str">
            <v>Labor Rate (loaded monthly)</v>
          </cell>
          <cell r="B68">
            <v>16466.666666666668</v>
          </cell>
        </row>
        <row r="70">
          <cell r="B70">
            <v>658666.66666666674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</row>
        <row r="72">
          <cell r="A72" t="str">
            <v xml:space="preserve">          1.4.3 Miscellaneous Costs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</row>
        <row r="73">
          <cell r="A73" t="str">
            <v>Material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</row>
        <row r="74">
          <cell r="A74" t="str">
            <v>Travel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</row>
        <row r="75">
          <cell r="A75" t="str">
            <v>Other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7">
          <cell r="A77" t="str">
            <v xml:space="preserve">     1.5 Test and Evaluation</v>
          </cell>
        </row>
        <row r="78">
          <cell r="A78" t="str">
            <v xml:space="preserve">          1.5.1 Government Labor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</row>
        <row r="79">
          <cell r="A79" t="str">
            <v>FTEs</v>
          </cell>
        </row>
        <row r="80">
          <cell r="A80" t="str">
            <v>Months</v>
          </cell>
        </row>
        <row r="81">
          <cell r="A81" t="str">
            <v>GS level</v>
          </cell>
        </row>
        <row r="82">
          <cell r="A82" t="str">
            <v>Labor Rate (loaded monthly)</v>
          </cell>
          <cell r="B82" t="str">
            <v/>
          </cell>
        </row>
        <row r="84">
          <cell r="A84" t="str">
            <v xml:space="preserve">          1.5.2 Contractor Labor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</row>
        <row r="85">
          <cell r="A85" t="str">
            <v>FTEs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</row>
        <row r="86">
          <cell r="A86" t="str">
            <v>Months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</row>
        <row r="87">
          <cell r="A87" t="str">
            <v>Labor Rate (loaded monthly)</v>
          </cell>
          <cell r="B87">
            <v>16466.666666666668</v>
          </cell>
        </row>
        <row r="89">
          <cell r="A89" t="str">
            <v xml:space="preserve">          1.5.3 Miscellaneous Costs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</row>
        <row r="90">
          <cell r="A90" t="str">
            <v>Material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</row>
        <row r="91">
          <cell r="A91" t="str">
            <v>Travel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A92" t="str">
            <v>Other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4">
          <cell r="A94" t="str">
            <v xml:space="preserve">     1.6 Documentation</v>
          </cell>
        </row>
        <row r="95">
          <cell r="A95" t="str">
            <v xml:space="preserve">          1.6.1 Government Labor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A96" t="str">
            <v>FTEs</v>
          </cell>
        </row>
        <row r="97">
          <cell r="A97" t="str">
            <v>Months</v>
          </cell>
        </row>
        <row r="98">
          <cell r="A98" t="str">
            <v>GS level</v>
          </cell>
          <cell r="C98" t="str">
            <v xml:space="preserve">                                        </v>
          </cell>
        </row>
        <row r="99">
          <cell r="A99" t="str">
            <v>Labor Rate (loaded monthly)</v>
          </cell>
          <cell r="B99" t="str">
            <v/>
          </cell>
        </row>
        <row r="101">
          <cell r="A101" t="str">
            <v xml:space="preserve">          1.6.2 Contractor Labor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</row>
        <row r="102">
          <cell r="A102" t="str">
            <v>FTEs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A103" t="str">
            <v>Months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A104" t="str">
            <v>Labor Rate (loaded monthly)</v>
          </cell>
          <cell r="B104">
            <v>16466.666666666668</v>
          </cell>
        </row>
        <row r="106">
          <cell r="A106" t="str">
            <v xml:space="preserve">          1.6.3 Miscellaneous Costs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A107" t="str">
            <v>Material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A108" t="str">
            <v>Travel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A109" t="str">
            <v>Other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1">
          <cell r="A111" t="str">
            <v xml:space="preserve">     1.7 Equipment &amp; Software</v>
          </cell>
          <cell r="B111">
            <v>90420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</row>
        <row r="113">
          <cell r="A113" t="str">
            <v>Recording devices for pilot</v>
          </cell>
          <cell r="B113">
            <v>12</v>
          </cell>
        </row>
        <row r="115">
          <cell r="B115">
            <v>90420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</row>
        <row r="117">
          <cell r="A117" t="str">
            <v xml:space="preserve">     1.8 Software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</row>
        <row r="118">
          <cell r="A118" t="str">
            <v>COTS Programs/Tools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A119" t="str">
            <v>New Development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</row>
        <row r="120">
          <cell r="A120" t="str">
            <v>Modification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</row>
        <row r="122">
          <cell r="A122" t="str">
            <v xml:space="preserve">     1.8 Infrastructure Enhancements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</row>
        <row r="123">
          <cell r="A123" t="str">
            <v>Construction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</row>
        <row r="127">
          <cell r="A127" t="str">
            <v>2.0 Implementation</v>
          </cell>
        </row>
        <row r="128">
          <cell r="A128" t="str">
            <v xml:space="preserve">     2.1 Project Planning and Management</v>
          </cell>
        </row>
        <row r="129">
          <cell r="A129" t="str">
            <v xml:space="preserve">          2.1.1 Government Labor</v>
          </cell>
          <cell r="B129">
            <v>0</v>
          </cell>
          <cell r="C129">
            <v>395931.04820000002</v>
          </cell>
          <cell r="D129">
            <v>395931.04820000002</v>
          </cell>
          <cell r="E129">
            <v>395931.04820000002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</row>
        <row r="130">
          <cell r="A130" t="str">
            <v>FTEs</v>
          </cell>
          <cell r="C130">
            <v>3</v>
          </cell>
          <cell r="D130">
            <v>3</v>
          </cell>
          <cell r="E130">
            <v>3</v>
          </cell>
          <cell r="F130">
            <v>3</v>
          </cell>
          <cell r="G130">
            <v>3</v>
          </cell>
          <cell r="H130">
            <v>3</v>
          </cell>
          <cell r="I130">
            <v>3</v>
          </cell>
          <cell r="J130">
            <v>3</v>
          </cell>
          <cell r="K130">
            <v>3</v>
          </cell>
        </row>
        <row r="131">
          <cell r="A131" t="str">
            <v>Months</v>
          </cell>
          <cell r="C131">
            <v>12</v>
          </cell>
          <cell r="D131">
            <v>12</v>
          </cell>
          <cell r="E131">
            <v>12</v>
          </cell>
          <cell r="F131">
            <v>12</v>
          </cell>
          <cell r="G131">
            <v>12</v>
          </cell>
          <cell r="H131">
            <v>12</v>
          </cell>
          <cell r="I131">
            <v>12</v>
          </cell>
          <cell r="J131">
            <v>12</v>
          </cell>
          <cell r="K131">
            <v>12</v>
          </cell>
        </row>
        <row r="132">
          <cell r="A132" t="str">
            <v>GS level</v>
          </cell>
          <cell r="B132">
            <v>14</v>
          </cell>
          <cell r="C132" t="str">
            <v xml:space="preserve">                                        </v>
          </cell>
          <cell r="D132" t="str">
            <v xml:space="preserve">                                        </v>
          </cell>
          <cell r="E132" t="str">
            <v xml:space="preserve">                                        </v>
          </cell>
        </row>
        <row r="133">
          <cell r="A133" t="str">
            <v>Labor Rate (loaded monthly)</v>
          </cell>
          <cell r="B133">
            <v>10998.084673333333</v>
          </cell>
        </row>
        <row r="135">
          <cell r="B135">
            <v>0</v>
          </cell>
          <cell r="C135">
            <v>395931.04823999997</v>
          </cell>
          <cell r="D135">
            <v>395931.04823999997</v>
          </cell>
          <cell r="E135">
            <v>395931.04823999997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</row>
        <row r="137">
          <cell r="A137" t="str">
            <v xml:space="preserve">          2.1.2 Contractor Labor</v>
          </cell>
          <cell r="B137">
            <v>0</v>
          </cell>
          <cell r="C137">
            <v>592800</v>
          </cell>
          <cell r="D137">
            <v>592800</v>
          </cell>
          <cell r="E137">
            <v>592800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</row>
        <row r="138">
          <cell r="A138" t="str">
            <v>FTEs</v>
          </cell>
          <cell r="C138">
            <v>3</v>
          </cell>
          <cell r="D138">
            <v>3</v>
          </cell>
          <cell r="E138">
            <v>3</v>
          </cell>
          <cell r="F138">
            <v>3</v>
          </cell>
          <cell r="G138">
            <v>3</v>
          </cell>
          <cell r="H138">
            <v>3</v>
          </cell>
          <cell r="I138">
            <v>3</v>
          </cell>
          <cell r="J138">
            <v>3</v>
          </cell>
          <cell r="K138">
            <v>3</v>
          </cell>
        </row>
        <row r="139">
          <cell r="A139" t="str">
            <v>Months</v>
          </cell>
          <cell r="C139">
            <v>12</v>
          </cell>
          <cell r="D139">
            <v>12</v>
          </cell>
          <cell r="E139">
            <v>12</v>
          </cell>
          <cell r="F139">
            <v>12</v>
          </cell>
          <cell r="G139">
            <v>12</v>
          </cell>
          <cell r="H139">
            <v>12</v>
          </cell>
          <cell r="I139">
            <v>12</v>
          </cell>
          <cell r="J139">
            <v>12</v>
          </cell>
          <cell r="K139">
            <v>12</v>
          </cell>
        </row>
        <row r="140">
          <cell r="A140" t="str">
            <v>Labor Rate (loaded monthly)</v>
          </cell>
          <cell r="B140">
            <v>16466.666666666668</v>
          </cell>
        </row>
        <row r="142">
          <cell r="B142">
            <v>0</v>
          </cell>
          <cell r="C142">
            <v>592800</v>
          </cell>
          <cell r="D142">
            <v>592800</v>
          </cell>
          <cell r="E142">
            <v>592800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</row>
        <row r="144">
          <cell r="A144" t="str">
            <v xml:space="preserve">          2.1.3 Miscellaneous Costs</v>
          </cell>
          <cell r="B144">
            <v>0</v>
          </cell>
          <cell r="C144">
            <v>5000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</row>
        <row r="145">
          <cell r="A145" t="str">
            <v>Material</v>
          </cell>
        </row>
        <row r="146">
          <cell r="A146" t="str">
            <v>Travel</v>
          </cell>
          <cell r="C146">
            <v>5000</v>
          </cell>
        </row>
        <row r="147">
          <cell r="A147" t="str">
            <v>Other</v>
          </cell>
        </row>
        <row r="149">
          <cell r="A149" t="str">
            <v xml:space="preserve">     2.2 Process Redesign</v>
          </cell>
        </row>
        <row r="150">
          <cell r="A150" t="str">
            <v xml:space="preserve">          2.2.1 Government Labor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</row>
        <row r="151">
          <cell r="A151" t="str">
            <v>FTEs</v>
          </cell>
        </row>
        <row r="152">
          <cell r="A152" t="str">
            <v>Months</v>
          </cell>
        </row>
        <row r="153">
          <cell r="A153" t="str">
            <v>GS level</v>
          </cell>
        </row>
        <row r="154">
          <cell r="A154" t="str">
            <v>Labor Rate (loaded monthly)</v>
          </cell>
          <cell r="B154" t="str">
            <v/>
          </cell>
        </row>
        <row r="156">
          <cell r="A156" t="str">
            <v xml:space="preserve">          2.2.2 Contractor Labor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</row>
        <row r="157">
          <cell r="A157" t="str">
            <v>FTEs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</row>
        <row r="158">
          <cell r="A158" t="str">
            <v>Months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</row>
        <row r="159">
          <cell r="A159" t="str">
            <v>Labor Rate (loaded monthly)</v>
          </cell>
          <cell r="B159">
            <v>16466.666666666668</v>
          </cell>
        </row>
        <row r="161">
          <cell r="A161" t="str">
            <v xml:space="preserve">          2.2.3 Miscellaneous Costs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</row>
        <row r="162">
          <cell r="A162" t="str">
            <v>Material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</row>
        <row r="163">
          <cell r="A163" t="str">
            <v>Travel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</row>
        <row r="164">
          <cell r="A164" t="str">
            <v>Other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</row>
        <row r="166">
          <cell r="A166" t="str">
            <v xml:space="preserve">    2.3 Implementation</v>
          </cell>
        </row>
        <row r="167">
          <cell r="A167" t="str">
            <v xml:space="preserve">          2.3.1 Government Labor</v>
          </cell>
          <cell r="B167">
            <v>0</v>
          </cell>
          <cell r="C167">
            <v>140874.03372000001</v>
          </cell>
          <cell r="D167">
            <v>140874.03372000001</v>
          </cell>
          <cell r="E167">
            <v>187832.04496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</row>
        <row r="168">
          <cell r="A168" t="str">
            <v>FTEs</v>
          </cell>
          <cell r="B168">
            <v>0</v>
          </cell>
          <cell r="C168">
            <v>3</v>
          </cell>
          <cell r="D168">
            <v>3</v>
          </cell>
          <cell r="E168">
            <v>4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</row>
        <row r="169">
          <cell r="A169" t="str">
            <v>Months</v>
          </cell>
          <cell r="C169">
            <v>6</v>
          </cell>
          <cell r="D169">
            <v>6</v>
          </cell>
          <cell r="E169">
            <v>6</v>
          </cell>
          <cell r="F169">
            <v>6</v>
          </cell>
          <cell r="G169">
            <v>6</v>
          </cell>
          <cell r="H169">
            <v>6</v>
          </cell>
          <cell r="I169">
            <v>6</v>
          </cell>
          <cell r="J169">
            <v>6</v>
          </cell>
          <cell r="K169">
            <v>6</v>
          </cell>
        </row>
        <row r="170">
          <cell r="A170" t="str">
            <v>GS level</v>
          </cell>
          <cell r="B170">
            <v>12</v>
          </cell>
        </row>
        <row r="171">
          <cell r="A171" t="str">
            <v>Labor Rate (loaded monthly)</v>
          </cell>
          <cell r="B171">
            <v>7826.3352066666666</v>
          </cell>
        </row>
        <row r="173">
          <cell r="A173" t="str">
            <v xml:space="preserve">          2.3.2 Contractor Labor</v>
          </cell>
          <cell r="B173">
            <v>0</v>
          </cell>
          <cell r="C173">
            <v>154500</v>
          </cell>
          <cell r="D173">
            <v>142500</v>
          </cell>
          <cell r="E173">
            <v>145000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</row>
        <row r="174">
          <cell r="A174" t="str">
            <v>FTEs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A175" t="str">
            <v>Months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</row>
        <row r="176">
          <cell r="A176" t="str">
            <v>Labor Rate (loaded monthly)</v>
          </cell>
          <cell r="B176">
            <v>16466.666666666668</v>
          </cell>
        </row>
        <row r="178">
          <cell r="A178" t="str">
            <v xml:space="preserve">          2.3.3 Miscellaneous Costs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</row>
        <row r="179">
          <cell r="A179" t="str">
            <v>Shipping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</row>
        <row r="180">
          <cell r="A180" t="str">
            <v>Travel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1">
          <cell r="A181" t="str">
            <v>Other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</row>
        <row r="183">
          <cell r="A183" t="str">
            <v xml:space="preserve">     2.4 Data Conversion/Documentation</v>
          </cell>
        </row>
        <row r="184">
          <cell r="A184" t="str">
            <v xml:space="preserve">          2.4.1 Government Labor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5">
          <cell r="A185" t="str">
            <v>FTEs</v>
          </cell>
        </row>
        <row r="186">
          <cell r="A186" t="str">
            <v>Months</v>
          </cell>
        </row>
        <row r="187">
          <cell r="A187" t="str">
            <v>GS level</v>
          </cell>
        </row>
        <row r="188">
          <cell r="A188" t="str">
            <v>Labor Rate (loaded monthly)</v>
          </cell>
          <cell r="B188" t="str">
            <v/>
          </cell>
        </row>
        <row r="190">
          <cell r="A190" t="str">
            <v xml:space="preserve">          2.4.2 Contractor Labor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</row>
        <row r="191">
          <cell r="A191" t="str">
            <v>FTEs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</row>
        <row r="192">
          <cell r="A192" t="str">
            <v>Months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A193" t="str">
            <v>Labor Rate (loaded monthly)</v>
          </cell>
          <cell r="B193">
            <v>16466.666666666668</v>
          </cell>
        </row>
        <row r="195">
          <cell r="A195" t="str">
            <v xml:space="preserve">          2.4.3 Miscellaneous Costs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</row>
        <row r="196">
          <cell r="A196" t="str">
            <v>Material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</row>
        <row r="197">
          <cell r="A197" t="str">
            <v>Travel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</row>
        <row r="198">
          <cell r="A198" t="str">
            <v>Other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200">
          <cell r="A200" t="str">
            <v xml:space="preserve">     2.5 Test and Evaluation</v>
          </cell>
        </row>
        <row r="201">
          <cell r="A201" t="str">
            <v xml:space="preserve">          2.5.1 Government Labor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</row>
        <row r="202">
          <cell r="A202" t="str">
            <v>FTEs</v>
          </cell>
        </row>
        <row r="203">
          <cell r="A203" t="str">
            <v>Months</v>
          </cell>
        </row>
        <row r="204">
          <cell r="A204" t="str">
            <v>GS level</v>
          </cell>
        </row>
        <row r="205">
          <cell r="A205" t="str">
            <v>Labor Rate (loaded monthly)</v>
          </cell>
          <cell r="B205" t="str">
            <v/>
          </cell>
        </row>
        <row r="207">
          <cell r="A207" t="str">
            <v xml:space="preserve">          2.5.2 Contractor Labor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</row>
        <row r="208">
          <cell r="A208" t="str">
            <v>FTEs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</row>
        <row r="209">
          <cell r="A209" t="str">
            <v>Months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  <row r="210">
          <cell r="A210" t="str">
            <v>Labor Rate (loaded monthly)</v>
          </cell>
          <cell r="B210">
            <v>16466.666666666668</v>
          </cell>
        </row>
        <row r="212">
          <cell r="A212" t="str">
            <v xml:space="preserve">          2.5.3 Miscellaneous Costs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</row>
        <row r="213">
          <cell r="A213" t="str">
            <v>Material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</row>
        <row r="214">
          <cell r="A214" t="str">
            <v>Travel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</row>
        <row r="215">
          <cell r="A215" t="str">
            <v>Other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</row>
        <row r="217">
          <cell r="A217" t="str">
            <v xml:space="preserve">     2.6 Miscellaneous Transition</v>
          </cell>
        </row>
        <row r="218">
          <cell r="A218" t="str">
            <v xml:space="preserve">          2.6.1 Government Labor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</row>
        <row r="219">
          <cell r="A219" t="str">
            <v>FTEs</v>
          </cell>
        </row>
        <row r="220">
          <cell r="A220" t="str">
            <v>Months</v>
          </cell>
        </row>
        <row r="221">
          <cell r="A221" t="str">
            <v>GS level</v>
          </cell>
        </row>
        <row r="222">
          <cell r="A222" t="str">
            <v>Labor Rate (loaded monthly)</v>
          </cell>
          <cell r="B222" t="str">
            <v/>
          </cell>
        </row>
        <row r="224">
          <cell r="A224" t="str">
            <v xml:space="preserve">          2.6.2 Contractor Labor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</row>
        <row r="225">
          <cell r="A225" t="str">
            <v>FTEs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</row>
        <row r="226">
          <cell r="A226" t="str">
            <v>Months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</row>
        <row r="227">
          <cell r="A227" t="str">
            <v>Labor Rate (loaded monthly)</v>
          </cell>
          <cell r="B227">
            <v>16466.666666666668</v>
          </cell>
        </row>
        <row r="230">
          <cell r="A230" t="str">
            <v xml:space="preserve">          2.6.3 Miscellaneous Costs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</row>
        <row r="231">
          <cell r="A231" t="str">
            <v>Material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</row>
        <row r="232">
          <cell r="A232" t="str">
            <v>Travel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</row>
        <row r="233">
          <cell r="A233" t="str">
            <v>Other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</row>
        <row r="235">
          <cell r="A235" t="str">
            <v xml:space="preserve">     2.7 Training</v>
          </cell>
        </row>
        <row r="236">
          <cell r="A236" t="str">
            <v xml:space="preserve">          2.7.1 Government Labor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A237" t="str">
            <v>FTEs</v>
          </cell>
        </row>
        <row r="238">
          <cell r="A238" t="str">
            <v>Months</v>
          </cell>
        </row>
        <row r="239">
          <cell r="A239" t="str">
            <v>GS level</v>
          </cell>
        </row>
        <row r="240">
          <cell r="A240" t="str">
            <v>Labor Rate (loaded monthly)</v>
          </cell>
          <cell r="B240" t="str">
            <v/>
          </cell>
        </row>
        <row r="242">
          <cell r="A242" t="str">
            <v xml:space="preserve">          2.7.2 Contractor Labor</v>
          </cell>
          <cell r="B242">
            <v>0</v>
          </cell>
          <cell r="C242">
            <v>185400</v>
          </cell>
          <cell r="D242">
            <v>171000</v>
          </cell>
          <cell r="E242">
            <v>174000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</row>
        <row r="243">
          <cell r="A243" t="str">
            <v>FTEs</v>
          </cell>
        </row>
        <row r="244">
          <cell r="A244" t="str">
            <v>Months</v>
          </cell>
        </row>
        <row r="245">
          <cell r="A245" t="str">
            <v>Labor Rate (loaded monthly)</v>
          </cell>
          <cell r="B245">
            <v>16466.666666666668</v>
          </cell>
        </row>
        <row r="247">
          <cell r="A247" t="str">
            <v xml:space="preserve">          2.7.3 Miscellaneous Costs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</row>
        <row r="248">
          <cell r="A248" t="str">
            <v>Material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A249" t="str">
            <v>Travel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A250" t="str">
            <v>Other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</row>
        <row r="252">
          <cell r="A252" t="str">
            <v xml:space="preserve">     2.8 Procurement</v>
          </cell>
        </row>
        <row r="253">
          <cell r="A253" t="str">
            <v xml:space="preserve">          2.8.1 Equipment and software</v>
          </cell>
          <cell r="B253">
            <v>0</v>
          </cell>
          <cell r="C253">
            <v>3677080</v>
          </cell>
          <cell r="D253">
            <v>3390750</v>
          </cell>
          <cell r="E253">
            <v>3458565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</row>
        <row r="255">
          <cell r="A255" t="str">
            <v>Total Equipment Cost</v>
          </cell>
        </row>
        <row r="256">
          <cell r="A256" t="str">
            <v>Boston</v>
          </cell>
          <cell r="B256">
            <v>557590</v>
          </cell>
        </row>
        <row r="257">
          <cell r="A257" t="str">
            <v>New York</v>
          </cell>
          <cell r="B257">
            <v>1130250</v>
          </cell>
        </row>
        <row r="258">
          <cell r="A258" t="str">
            <v>Philadelphia</v>
          </cell>
          <cell r="B258">
            <v>1130250</v>
          </cell>
        </row>
        <row r="259">
          <cell r="A259" t="str">
            <v>Atlanta</v>
          </cell>
          <cell r="B259">
            <v>2275570</v>
          </cell>
        </row>
        <row r="260">
          <cell r="A260" t="str">
            <v>Chicago</v>
          </cell>
          <cell r="B260">
            <v>1416580</v>
          </cell>
        </row>
        <row r="261">
          <cell r="A261" t="str">
            <v>Dallas</v>
          </cell>
          <cell r="B261">
            <v>1205600</v>
          </cell>
        </row>
        <row r="262">
          <cell r="A262" t="str">
            <v>Kansas City</v>
          </cell>
          <cell r="B262">
            <v>557590</v>
          </cell>
        </row>
        <row r="263">
          <cell r="A263" t="str">
            <v>Denver</v>
          </cell>
          <cell r="B263">
            <v>414425</v>
          </cell>
        </row>
        <row r="264">
          <cell r="A264" t="str">
            <v>San Francisco</v>
          </cell>
          <cell r="B264">
            <v>1491930</v>
          </cell>
        </row>
        <row r="265">
          <cell r="A265" t="str">
            <v>Seattle</v>
          </cell>
          <cell r="B265">
            <v>346610</v>
          </cell>
        </row>
        <row r="267">
          <cell r="A267" t="str">
            <v>Boston</v>
          </cell>
          <cell r="B267">
            <v>0</v>
          </cell>
          <cell r="C267">
            <v>0</v>
          </cell>
          <cell r="D267">
            <v>557590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</row>
        <row r="268">
          <cell r="A268" t="str">
            <v>New York</v>
          </cell>
          <cell r="B268">
            <v>0</v>
          </cell>
          <cell r="C268">
            <v>1130250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</row>
        <row r="269">
          <cell r="A269" t="str">
            <v>Philadelphia</v>
          </cell>
          <cell r="B269">
            <v>0</v>
          </cell>
          <cell r="C269">
            <v>1130250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</row>
        <row r="270">
          <cell r="A270" t="str">
            <v>Atlanta</v>
          </cell>
          <cell r="B270">
            <v>0</v>
          </cell>
          <cell r="C270">
            <v>0</v>
          </cell>
          <cell r="D270">
            <v>2275570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</row>
        <row r="271">
          <cell r="A271" t="str">
            <v>Chicago</v>
          </cell>
          <cell r="B271">
            <v>0</v>
          </cell>
          <cell r="C271">
            <v>1416580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</row>
        <row r="272">
          <cell r="A272" t="str">
            <v>Dallas</v>
          </cell>
          <cell r="B272">
            <v>0</v>
          </cell>
          <cell r="C272">
            <v>0</v>
          </cell>
          <cell r="D272">
            <v>0</v>
          </cell>
          <cell r="E272">
            <v>1205600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</row>
        <row r="273">
          <cell r="A273" t="str">
            <v>Kansas City</v>
          </cell>
          <cell r="B273">
            <v>0</v>
          </cell>
          <cell r="C273">
            <v>0</v>
          </cell>
          <cell r="D273">
            <v>557590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</row>
        <row r="274">
          <cell r="A274" t="str">
            <v>Denver</v>
          </cell>
          <cell r="B274">
            <v>0</v>
          </cell>
          <cell r="C274">
            <v>0</v>
          </cell>
          <cell r="D274">
            <v>0</v>
          </cell>
          <cell r="E274">
            <v>414425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</row>
        <row r="275">
          <cell r="A275" t="str">
            <v>San Francisco</v>
          </cell>
          <cell r="B275">
            <v>0</v>
          </cell>
          <cell r="C275">
            <v>0</v>
          </cell>
          <cell r="D275">
            <v>0</v>
          </cell>
          <cell r="E275">
            <v>1491930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</row>
        <row r="276">
          <cell r="A276" t="str">
            <v>Seattle</v>
          </cell>
          <cell r="B276">
            <v>0</v>
          </cell>
          <cell r="C276">
            <v>0</v>
          </cell>
          <cell r="D276">
            <v>0</v>
          </cell>
          <cell r="E276">
            <v>346610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</row>
        <row r="279">
          <cell r="A279" t="str">
            <v xml:space="preserve">          2.8.2 Software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</row>
        <row r="280">
          <cell r="A280" t="str">
            <v>COTS Programs/Tools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</row>
        <row r="281">
          <cell r="A281" t="str">
            <v>New Development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</row>
        <row r="282">
          <cell r="A282" t="str">
            <v>Modification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</row>
        <row r="284">
          <cell r="A284" t="str">
            <v>3.0 Operations and Maintenance</v>
          </cell>
        </row>
        <row r="285">
          <cell r="A285" t="str">
            <v xml:space="preserve">     3.1 Program Management</v>
          </cell>
        </row>
        <row r="286">
          <cell r="A286" t="str">
            <v xml:space="preserve">          3.1.1 Government Labor</v>
          </cell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46958.01124</v>
          </cell>
          <cell r="G286">
            <v>46958.01124</v>
          </cell>
          <cell r="H286">
            <v>46958.01124</v>
          </cell>
          <cell r="I286">
            <v>46958.01124</v>
          </cell>
          <cell r="J286">
            <v>46958.01124</v>
          </cell>
          <cell r="K286">
            <v>46958.01124</v>
          </cell>
        </row>
        <row r="287">
          <cell r="A287" t="str">
            <v>FTEs</v>
          </cell>
          <cell r="B287">
            <v>0.5</v>
          </cell>
          <cell r="C287">
            <v>0.5</v>
          </cell>
          <cell r="D287">
            <v>0.5</v>
          </cell>
          <cell r="E287">
            <v>0.5</v>
          </cell>
          <cell r="F287">
            <v>0.5</v>
          </cell>
          <cell r="G287">
            <v>0.5</v>
          </cell>
          <cell r="H287">
            <v>0.5</v>
          </cell>
          <cell r="I287">
            <v>0.5</v>
          </cell>
          <cell r="J287">
            <v>0.5</v>
          </cell>
          <cell r="K287">
            <v>0.5</v>
          </cell>
        </row>
        <row r="288">
          <cell r="A288" t="str">
            <v>Months</v>
          </cell>
          <cell r="B288">
            <v>12</v>
          </cell>
          <cell r="C288">
            <v>12</v>
          </cell>
          <cell r="D288">
            <v>12</v>
          </cell>
          <cell r="E288">
            <v>12</v>
          </cell>
          <cell r="F288">
            <v>12</v>
          </cell>
          <cell r="G288">
            <v>12</v>
          </cell>
          <cell r="H288">
            <v>12</v>
          </cell>
          <cell r="I288">
            <v>12</v>
          </cell>
          <cell r="J288">
            <v>12</v>
          </cell>
          <cell r="K288">
            <v>12</v>
          </cell>
        </row>
        <row r="289">
          <cell r="A289" t="str">
            <v>GS level</v>
          </cell>
          <cell r="B289">
            <v>12</v>
          </cell>
        </row>
        <row r="290">
          <cell r="A290" t="str">
            <v>Labor Rate (loaded monthly)</v>
          </cell>
          <cell r="B290">
            <v>7826.3352066666666</v>
          </cell>
        </row>
        <row r="293">
          <cell r="A293" t="str">
            <v xml:space="preserve">          3.1.2 Contractor Labor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</row>
        <row r="294">
          <cell r="A294" t="str">
            <v>FTEs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</row>
        <row r="295">
          <cell r="A295" t="str">
            <v>Months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</row>
        <row r="296">
          <cell r="A296" t="str">
            <v>Labor Rate (loaded monthly)</v>
          </cell>
          <cell r="B296">
            <v>16466.666666666668</v>
          </cell>
        </row>
        <row r="298">
          <cell r="A298" t="str">
            <v xml:space="preserve">          3.1.3 Miscellaneous Costs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</row>
        <row r="299">
          <cell r="A299" t="str">
            <v>Material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</row>
        <row r="300">
          <cell r="A300" t="str">
            <v>Travel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</row>
        <row r="301">
          <cell r="A301" t="str">
            <v>Other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</row>
        <row r="303">
          <cell r="A303" t="str">
            <v xml:space="preserve">     3.2 Operations</v>
          </cell>
        </row>
        <row r="304">
          <cell r="A304" t="str">
            <v xml:space="preserve">          3.2.1 Government Labor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</row>
        <row r="310">
          <cell r="A310" t="str">
            <v xml:space="preserve">          3.2.2 Contractor Labor</v>
          </cell>
          <cell r="B310">
            <v>0</v>
          </cell>
          <cell r="C310">
            <v>118446.04316546764</v>
          </cell>
          <cell r="D310">
            <v>227223.02158273381</v>
          </cell>
          <cell r="E310">
            <v>336000</v>
          </cell>
          <cell r="F310">
            <v>336000</v>
          </cell>
          <cell r="G310">
            <v>336000</v>
          </cell>
          <cell r="H310">
            <v>336000</v>
          </cell>
          <cell r="I310">
            <v>336000</v>
          </cell>
          <cell r="J310">
            <v>336000</v>
          </cell>
          <cell r="K310">
            <v>336000</v>
          </cell>
        </row>
        <row r="312">
          <cell r="A312" t="str">
            <v>Annual Projected Transcription Cost Increase</v>
          </cell>
          <cell r="B312">
            <v>336000</v>
          </cell>
          <cell r="C312">
            <v>336000</v>
          </cell>
          <cell r="D312">
            <v>336000</v>
          </cell>
          <cell r="E312">
            <v>336000</v>
          </cell>
          <cell r="F312">
            <v>336000</v>
          </cell>
          <cell r="G312">
            <v>336000</v>
          </cell>
          <cell r="H312">
            <v>336000</v>
          </cell>
          <cell r="I312">
            <v>336000</v>
          </cell>
          <cell r="J312">
            <v>336000</v>
          </cell>
          <cell r="K312">
            <v>336000</v>
          </cell>
        </row>
        <row r="313">
          <cell r="A313" t="str">
            <v>Implementation Percentages</v>
          </cell>
          <cell r="B313">
            <v>0</v>
          </cell>
          <cell r="C313">
            <v>0.35251798561151082</v>
          </cell>
          <cell r="D313">
            <v>0.32374100719424465</v>
          </cell>
          <cell r="E313">
            <v>0.32374100719424459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</row>
        <row r="314">
          <cell r="A314" t="str">
            <v>Cumulative Implementation Percentages</v>
          </cell>
          <cell r="B314">
            <v>0</v>
          </cell>
          <cell r="C314">
            <v>0.35251798561151082</v>
          </cell>
          <cell r="D314">
            <v>0.67625899280575541</v>
          </cell>
          <cell r="E314">
            <v>1</v>
          </cell>
          <cell r="F314">
            <v>1</v>
          </cell>
          <cell r="G314">
            <v>1</v>
          </cell>
          <cell r="H314">
            <v>1</v>
          </cell>
          <cell r="I314">
            <v>1</v>
          </cell>
          <cell r="J314">
            <v>1</v>
          </cell>
          <cell r="K314">
            <v>1</v>
          </cell>
        </row>
        <row r="319">
          <cell r="A319" t="str">
            <v xml:space="preserve">          3.2.3 Miscellaneous Costs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</row>
        <row r="320">
          <cell r="A320" t="str">
            <v>Material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</row>
        <row r="321">
          <cell r="A321" t="str">
            <v>Travel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</row>
        <row r="322">
          <cell r="A322" t="str">
            <v>Other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</row>
        <row r="324">
          <cell r="A324" t="str">
            <v xml:space="preserve">    3.3 Security</v>
          </cell>
        </row>
        <row r="325">
          <cell r="A325" t="str">
            <v xml:space="preserve">          3.3.1 Government Labor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</row>
        <row r="326">
          <cell r="A326" t="str">
            <v>FTEs</v>
          </cell>
        </row>
        <row r="327">
          <cell r="A327" t="str">
            <v>Months</v>
          </cell>
        </row>
        <row r="328">
          <cell r="A328" t="str">
            <v>GS level</v>
          </cell>
        </row>
        <row r="329">
          <cell r="A329" t="str">
            <v>Labor Rate (loaded monthly)</v>
          </cell>
          <cell r="B329" t="str">
            <v/>
          </cell>
        </row>
        <row r="331">
          <cell r="A331" t="str">
            <v xml:space="preserve">          3.3.2 Contractor Labor</v>
          </cell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</row>
        <row r="332">
          <cell r="A332" t="str">
            <v>FTEs</v>
          </cell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</row>
        <row r="333">
          <cell r="A333" t="str">
            <v>Months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</row>
        <row r="334">
          <cell r="A334" t="str">
            <v>Labor Rate (loaded monthly)</v>
          </cell>
          <cell r="B334">
            <v>16466.666666666668</v>
          </cell>
        </row>
        <row r="336">
          <cell r="A336" t="str">
            <v xml:space="preserve">          3.3.3 Miscellaneous Costs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</row>
        <row r="337">
          <cell r="A337" t="str">
            <v>Material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</row>
        <row r="338">
          <cell r="A338" t="str">
            <v>Travel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</row>
        <row r="339">
          <cell r="A339" t="str">
            <v>Other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</row>
        <row r="341">
          <cell r="A341" t="str">
            <v xml:space="preserve">     3.4 Recurring Training</v>
          </cell>
        </row>
        <row r="342">
          <cell r="A342" t="str">
            <v xml:space="preserve">          3.4.1 Government Labor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</row>
        <row r="343">
          <cell r="A343" t="str">
            <v>FTEs</v>
          </cell>
        </row>
        <row r="344">
          <cell r="A344" t="str">
            <v>Months</v>
          </cell>
        </row>
        <row r="345">
          <cell r="A345" t="str">
            <v>GS level</v>
          </cell>
        </row>
        <row r="346">
          <cell r="A346" t="str">
            <v>Labor Rate (loaded monthly)</v>
          </cell>
          <cell r="B346" t="str">
            <v/>
          </cell>
        </row>
        <row r="348">
          <cell r="A348" t="str">
            <v xml:space="preserve">          3.4.2 Contractor Labor</v>
          </cell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</row>
        <row r="349">
          <cell r="A349" t="str">
            <v>FTEs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</row>
        <row r="350">
          <cell r="A350" t="str">
            <v>Months</v>
          </cell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</row>
        <row r="351">
          <cell r="A351" t="str">
            <v>Labor Rate (loaded monthly)</v>
          </cell>
          <cell r="B351">
            <v>16466.666666666668</v>
          </cell>
        </row>
        <row r="353">
          <cell r="A353" t="str">
            <v xml:space="preserve">          3.4.3 Miscellaneous Costs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</row>
        <row r="354">
          <cell r="A354" t="str">
            <v>Material</v>
          </cell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</row>
        <row r="355">
          <cell r="A355" t="str">
            <v>Travel</v>
          </cell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</row>
        <row r="356">
          <cell r="A356" t="str">
            <v>Other</v>
          </cell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</row>
        <row r="358">
          <cell r="A358" t="str">
            <v xml:space="preserve">     3.5 Equipment Maintenance and Upgrades</v>
          </cell>
        </row>
        <row r="359">
          <cell r="A359" t="str">
            <v xml:space="preserve">          3.5.1 Maintenance Labor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</row>
        <row r="360">
          <cell r="A360" t="str">
            <v>Contracts</v>
          </cell>
        </row>
        <row r="361">
          <cell r="A361" t="str">
            <v>FTEs</v>
          </cell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</row>
        <row r="362">
          <cell r="A362" t="str">
            <v>Months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</row>
        <row r="363">
          <cell r="A363" t="str">
            <v>Labor Rate (loaded monthly)</v>
          </cell>
          <cell r="B363">
            <v>16466.666666666668</v>
          </cell>
        </row>
        <row r="366">
          <cell r="A366" t="str">
            <v xml:space="preserve">          3.5.2 Equipment Upgrade</v>
          </cell>
          <cell r="B366">
            <v>0</v>
          </cell>
          <cell r="C366">
            <v>0</v>
          </cell>
          <cell r="D366">
            <v>551562</v>
          </cell>
          <cell r="E366">
            <v>1060174.5</v>
          </cell>
          <cell r="F366">
            <v>1578959.25</v>
          </cell>
          <cell r="G366">
            <v>1578959.25</v>
          </cell>
          <cell r="H366">
            <v>1578959.25</v>
          </cell>
          <cell r="I366">
            <v>1578959.25</v>
          </cell>
          <cell r="J366">
            <v>1578959.25</v>
          </cell>
          <cell r="K366">
            <v>1578959.25</v>
          </cell>
        </row>
        <row r="368">
          <cell r="A368" t="str">
            <v>Cumulative Investment Cost</v>
          </cell>
          <cell r="B368">
            <v>0</v>
          </cell>
          <cell r="C368">
            <v>3677080</v>
          </cell>
          <cell r="D368">
            <v>7067830</v>
          </cell>
          <cell r="E368">
            <v>10526395</v>
          </cell>
          <cell r="F368">
            <v>10526395</v>
          </cell>
          <cell r="G368">
            <v>10526395</v>
          </cell>
          <cell r="H368">
            <v>10526395</v>
          </cell>
          <cell r="I368">
            <v>10526395</v>
          </cell>
          <cell r="J368">
            <v>10526395</v>
          </cell>
          <cell r="K368">
            <v>10526395</v>
          </cell>
        </row>
        <row r="372">
          <cell r="A372" t="str">
            <v xml:space="preserve">     3.6 Software Maintenance and Upgrades</v>
          </cell>
        </row>
        <row r="373">
          <cell r="A373" t="str">
            <v xml:space="preserve">          3.6.1 Government Labor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</row>
        <row r="374">
          <cell r="A374" t="str">
            <v>FTEs</v>
          </cell>
        </row>
        <row r="375">
          <cell r="A375" t="str">
            <v>Months</v>
          </cell>
        </row>
        <row r="376">
          <cell r="A376" t="str">
            <v>GS level</v>
          </cell>
        </row>
        <row r="377">
          <cell r="A377" t="str">
            <v>Labor Rate (loaded monthly)</v>
          </cell>
          <cell r="B377" t="str">
            <v/>
          </cell>
        </row>
        <row r="379">
          <cell r="A379" t="str">
            <v xml:space="preserve">          3.6.2 Contractor Labor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</row>
        <row r="380">
          <cell r="A380" t="str">
            <v>FTEs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</row>
        <row r="381">
          <cell r="A381" t="str">
            <v>Months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</row>
        <row r="382">
          <cell r="A382" t="str">
            <v>Labor Rate (loaded monthly)</v>
          </cell>
          <cell r="B382">
            <v>16466.666666666668</v>
          </cell>
        </row>
        <row r="384">
          <cell r="A384" t="str">
            <v xml:space="preserve">          3.6.3 Miscellaneous Costs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</row>
        <row r="385">
          <cell r="A385" t="str">
            <v>Material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</row>
        <row r="386">
          <cell r="A386" t="str">
            <v>Travel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</row>
        <row r="387">
          <cell r="A387" t="str">
            <v>Other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</row>
      </sheetData>
      <sheetData sheetId="2" refreshError="1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</row>
        <row r="2">
          <cell r="B2">
            <v>2002</v>
          </cell>
          <cell r="C2">
            <v>2003</v>
          </cell>
          <cell r="D2">
            <v>2004</v>
          </cell>
          <cell r="E2">
            <v>2005</v>
          </cell>
          <cell r="F2">
            <v>2006</v>
          </cell>
          <cell r="G2">
            <v>2007</v>
          </cell>
          <cell r="H2">
            <v>2008</v>
          </cell>
          <cell r="I2">
            <v>2009</v>
          </cell>
          <cell r="J2">
            <v>2010</v>
          </cell>
          <cell r="K2">
            <v>2011</v>
          </cell>
        </row>
        <row r="3">
          <cell r="A3" t="str">
            <v>Reduced Remands</v>
          </cell>
          <cell r="B3">
            <v>0</v>
          </cell>
          <cell r="C3">
            <v>581326.19999999995</v>
          </cell>
          <cell r="D3">
            <v>2932488</v>
          </cell>
          <cell r="E3">
            <v>5378864.4000000004</v>
          </cell>
          <cell r="F3">
            <v>7441948.7999999998</v>
          </cell>
          <cell r="G3">
            <v>7611084</v>
          </cell>
          <cell r="H3">
            <v>7780219.2000000002</v>
          </cell>
          <cell r="I3">
            <v>8118489.6000000006</v>
          </cell>
          <cell r="J3">
            <v>8118489.6000000006</v>
          </cell>
          <cell r="K3">
            <v>8456760</v>
          </cell>
        </row>
        <row r="5">
          <cell r="A5" t="str">
            <v>Total Possible Benefits</v>
          </cell>
        </row>
        <row r="6">
          <cell r="A6" t="str">
            <v>Boston</v>
          </cell>
          <cell r="B6">
            <v>323668.8</v>
          </cell>
          <cell r="C6">
            <v>332186.40000000002</v>
          </cell>
          <cell r="D6">
            <v>340704</v>
          </cell>
          <cell r="E6">
            <v>357739.2</v>
          </cell>
          <cell r="F6">
            <v>374774.4</v>
          </cell>
          <cell r="G6">
            <v>383292</v>
          </cell>
          <cell r="H6">
            <v>391809.60000000003</v>
          </cell>
          <cell r="I6">
            <v>408844.79999999999</v>
          </cell>
          <cell r="J6">
            <v>408844.79999999999</v>
          </cell>
          <cell r="K6">
            <v>425880</v>
          </cell>
        </row>
        <row r="7">
          <cell r="A7" t="str">
            <v>New York</v>
          </cell>
          <cell r="B7">
            <v>693576</v>
          </cell>
          <cell r="C7">
            <v>711828</v>
          </cell>
          <cell r="D7">
            <v>730080</v>
          </cell>
          <cell r="E7">
            <v>766584</v>
          </cell>
          <cell r="F7">
            <v>803088</v>
          </cell>
          <cell r="G7">
            <v>821340</v>
          </cell>
          <cell r="H7">
            <v>839592</v>
          </cell>
          <cell r="I7">
            <v>876096</v>
          </cell>
          <cell r="J7">
            <v>876096</v>
          </cell>
          <cell r="K7">
            <v>912600</v>
          </cell>
        </row>
        <row r="8">
          <cell r="A8" t="str">
            <v>Philadelphia</v>
          </cell>
          <cell r="B8">
            <v>693576</v>
          </cell>
          <cell r="C8">
            <v>711828</v>
          </cell>
          <cell r="D8">
            <v>730080</v>
          </cell>
          <cell r="E8">
            <v>766584</v>
          </cell>
          <cell r="F8">
            <v>803088</v>
          </cell>
          <cell r="G8">
            <v>821340</v>
          </cell>
          <cell r="H8">
            <v>839592</v>
          </cell>
          <cell r="I8">
            <v>876096</v>
          </cell>
          <cell r="J8">
            <v>876096</v>
          </cell>
          <cell r="K8">
            <v>912600</v>
          </cell>
        </row>
        <row r="9">
          <cell r="A9" t="str">
            <v>Atlanta</v>
          </cell>
          <cell r="B9">
            <v>1433390.4000000001</v>
          </cell>
          <cell r="C9">
            <v>1471111.2</v>
          </cell>
          <cell r="D9">
            <v>1508832</v>
          </cell>
          <cell r="E9">
            <v>1584273.6</v>
          </cell>
          <cell r="F9">
            <v>1659715.2</v>
          </cell>
          <cell r="G9">
            <v>1697436</v>
          </cell>
          <cell r="H9">
            <v>1735156.8</v>
          </cell>
          <cell r="I9">
            <v>1810598.4000000001</v>
          </cell>
          <cell r="J9">
            <v>1810598.4000000001</v>
          </cell>
          <cell r="K9">
            <v>1886040</v>
          </cell>
        </row>
        <row r="10">
          <cell r="A10" t="str">
            <v>Chicago</v>
          </cell>
          <cell r="B10">
            <v>878529.6</v>
          </cell>
          <cell r="C10">
            <v>901648.8</v>
          </cell>
          <cell r="D10">
            <v>924768</v>
          </cell>
          <cell r="E10">
            <v>971006.4</v>
          </cell>
          <cell r="F10">
            <v>1017244.8</v>
          </cell>
          <cell r="G10">
            <v>1040364</v>
          </cell>
          <cell r="H10">
            <v>1063483.2</v>
          </cell>
          <cell r="I10">
            <v>1109721.6000000001</v>
          </cell>
          <cell r="J10">
            <v>1109721.6000000001</v>
          </cell>
          <cell r="K10">
            <v>1155960</v>
          </cell>
        </row>
        <row r="11">
          <cell r="A11" t="str">
            <v>Dallas</v>
          </cell>
          <cell r="B11">
            <v>739814.40000000002</v>
          </cell>
          <cell r="C11">
            <v>759283.20000000007</v>
          </cell>
          <cell r="D11">
            <v>778752</v>
          </cell>
          <cell r="E11">
            <v>817689.59999999998</v>
          </cell>
          <cell r="F11">
            <v>856627.20000000007</v>
          </cell>
          <cell r="G11">
            <v>876096</v>
          </cell>
          <cell r="H11">
            <v>895564.80000000005</v>
          </cell>
          <cell r="I11">
            <v>934502.40000000002</v>
          </cell>
          <cell r="J11">
            <v>934502.40000000002</v>
          </cell>
          <cell r="K11">
            <v>973440</v>
          </cell>
        </row>
        <row r="12">
          <cell r="A12" t="str">
            <v>Kansas City</v>
          </cell>
          <cell r="B12">
            <v>323668.8</v>
          </cell>
          <cell r="C12">
            <v>332186.40000000002</v>
          </cell>
          <cell r="D12">
            <v>340704</v>
          </cell>
          <cell r="E12">
            <v>357739.2</v>
          </cell>
          <cell r="F12">
            <v>374774.4</v>
          </cell>
          <cell r="G12">
            <v>383292</v>
          </cell>
          <cell r="H12">
            <v>391809.60000000003</v>
          </cell>
          <cell r="I12">
            <v>408844.79999999999</v>
          </cell>
          <cell r="J12">
            <v>408844.79999999999</v>
          </cell>
          <cell r="K12">
            <v>425880</v>
          </cell>
        </row>
        <row r="13">
          <cell r="A13" t="str">
            <v>Denver</v>
          </cell>
          <cell r="B13">
            <v>231192</v>
          </cell>
          <cell r="C13">
            <v>237276</v>
          </cell>
          <cell r="D13">
            <v>243360</v>
          </cell>
          <cell r="E13">
            <v>255528</v>
          </cell>
          <cell r="F13">
            <v>267696</v>
          </cell>
          <cell r="G13">
            <v>273780</v>
          </cell>
          <cell r="H13">
            <v>279864</v>
          </cell>
          <cell r="I13">
            <v>292032</v>
          </cell>
          <cell r="J13">
            <v>292032</v>
          </cell>
          <cell r="K13">
            <v>304200</v>
          </cell>
        </row>
        <row r="14">
          <cell r="A14" t="str">
            <v>San Francisco</v>
          </cell>
          <cell r="B14">
            <v>924768</v>
          </cell>
          <cell r="C14">
            <v>949104</v>
          </cell>
          <cell r="D14">
            <v>973440</v>
          </cell>
          <cell r="E14">
            <v>1022112</v>
          </cell>
          <cell r="F14">
            <v>1070784</v>
          </cell>
          <cell r="G14">
            <v>1095120</v>
          </cell>
          <cell r="H14">
            <v>1119456</v>
          </cell>
          <cell r="I14">
            <v>1168128</v>
          </cell>
          <cell r="J14">
            <v>1168128</v>
          </cell>
          <cell r="K14">
            <v>1216800</v>
          </cell>
        </row>
        <row r="15">
          <cell r="A15" t="str">
            <v>Seattle</v>
          </cell>
          <cell r="B15">
            <v>184953.60000000001</v>
          </cell>
          <cell r="C15">
            <v>189820.80000000002</v>
          </cell>
          <cell r="D15">
            <v>194688</v>
          </cell>
          <cell r="E15">
            <v>204422.39999999999</v>
          </cell>
          <cell r="F15">
            <v>214156.80000000002</v>
          </cell>
          <cell r="G15">
            <v>219024</v>
          </cell>
          <cell r="H15">
            <v>223891.20000000001</v>
          </cell>
          <cell r="I15">
            <v>233625.60000000001</v>
          </cell>
          <cell r="J15">
            <v>233625.60000000001</v>
          </cell>
          <cell r="K15">
            <v>243360</v>
          </cell>
        </row>
        <row r="17">
          <cell r="A17" t="str">
            <v>Percent of Benefits Achieved</v>
          </cell>
        </row>
        <row r="18">
          <cell r="A18" t="str">
            <v>Boston</v>
          </cell>
          <cell r="B18">
            <v>0</v>
          </cell>
          <cell r="C18">
            <v>0</v>
          </cell>
          <cell r="D18">
            <v>0.25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1</v>
          </cell>
        </row>
        <row r="19">
          <cell r="A19" t="str">
            <v>New York</v>
          </cell>
          <cell r="B19">
            <v>0</v>
          </cell>
          <cell r="C19">
            <v>0.25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</row>
        <row r="20">
          <cell r="A20" t="str">
            <v>Philadelphia</v>
          </cell>
          <cell r="B20">
            <v>0</v>
          </cell>
          <cell r="C20">
            <v>0.25</v>
          </cell>
          <cell r="D20">
            <v>1</v>
          </cell>
          <cell r="E20">
            <v>1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J20">
            <v>1</v>
          </cell>
          <cell r="K20">
            <v>1</v>
          </cell>
        </row>
        <row r="21">
          <cell r="A21" t="str">
            <v>Atlanta</v>
          </cell>
          <cell r="B21">
            <v>0</v>
          </cell>
          <cell r="C21">
            <v>0</v>
          </cell>
          <cell r="D21">
            <v>0.25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</row>
        <row r="22">
          <cell r="A22" t="str">
            <v>Chicago</v>
          </cell>
          <cell r="B22">
            <v>0</v>
          </cell>
          <cell r="C22">
            <v>0.25</v>
          </cell>
          <cell r="D22">
            <v>1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1</v>
          </cell>
          <cell r="K22">
            <v>1</v>
          </cell>
        </row>
        <row r="23">
          <cell r="A23" t="str">
            <v>Dallas</v>
          </cell>
          <cell r="B23">
            <v>0</v>
          </cell>
          <cell r="C23">
            <v>0</v>
          </cell>
          <cell r="D23">
            <v>0</v>
          </cell>
          <cell r="E23">
            <v>0.25</v>
          </cell>
          <cell r="F23">
            <v>1</v>
          </cell>
          <cell r="G23">
            <v>1</v>
          </cell>
          <cell r="H23">
            <v>1</v>
          </cell>
          <cell r="I23">
            <v>1</v>
          </cell>
          <cell r="J23">
            <v>1</v>
          </cell>
          <cell r="K23">
            <v>1</v>
          </cell>
        </row>
        <row r="24">
          <cell r="A24" t="str">
            <v>Kansas City</v>
          </cell>
          <cell r="B24">
            <v>0</v>
          </cell>
          <cell r="C24">
            <v>0</v>
          </cell>
          <cell r="D24">
            <v>0.25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1</v>
          </cell>
        </row>
        <row r="25">
          <cell r="A25" t="str">
            <v>Denver</v>
          </cell>
          <cell r="B25">
            <v>0</v>
          </cell>
          <cell r="C25">
            <v>0</v>
          </cell>
          <cell r="D25">
            <v>0</v>
          </cell>
          <cell r="E25">
            <v>0.25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  <cell r="J25">
            <v>1</v>
          </cell>
          <cell r="K25">
            <v>1</v>
          </cell>
        </row>
        <row r="26">
          <cell r="A26" t="str">
            <v>San Francisco</v>
          </cell>
          <cell r="B26">
            <v>0</v>
          </cell>
          <cell r="C26">
            <v>0</v>
          </cell>
          <cell r="D26">
            <v>0</v>
          </cell>
          <cell r="E26">
            <v>0.25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1</v>
          </cell>
        </row>
        <row r="27">
          <cell r="A27" t="str">
            <v>Seattle</v>
          </cell>
          <cell r="B27">
            <v>0</v>
          </cell>
          <cell r="C27">
            <v>0</v>
          </cell>
          <cell r="D27">
            <v>0</v>
          </cell>
          <cell r="E27">
            <v>0.25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</row>
        <row r="29">
          <cell r="A29" t="str">
            <v>Region</v>
          </cell>
          <cell r="B29">
            <v>2002</v>
          </cell>
          <cell r="C29">
            <v>2003</v>
          </cell>
          <cell r="D29">
            <v>2004</v>
          </cell>
          <cell r="E29">
            <v>2005</v>
          </cell>
          <cell r="F29">
            <v>2006</v>
          </cell>
          <cell r="G29">
            <v>2007</v>
          </cell>
          <cell r="H29">
            <v>2008</v>
          </cell>
          <cell r="I29">
            <v>2009</v>
          </cell>
          <cell r="J29">
            <v>2010</v>
          </cell>
          <cell r="K29">
            <v>2011</v>
          </cell>
        </row>
        <row r="30">
          <cell r="A30" t="str">
            <v>Boston</v>
          </cell>
          <cell r="B30">
            <v>0</v>
          </cell>
          <cell r="C30">
            <v>0</v>
          </cell>
          <cell r="D30">
            <v>85176</v>
          </cell>
          <cell r="E30">
            <v>357739.2</v>
          </cell>
          <cell r="F30">
            <v>374774.4</v>
          </cell>
          <cell r="G30">
            <v>383292</v>
          </cell>
          <cell r="H30">
            <v>391809.60000000003</v>
          </cell>
          <cell r="I30">
            <v>408844.79999999999</v>
          </cell>
          <cell r="J30">
            <v>408844.79999999999</v>
          </cell>
          <cell r="K30">
            <v>425880</v>
          </cell>
        </row>
        <row r="31">
          <cell r="A31" t="str">
            <v>New York</v>
          </cell>
          <cell r="B31">
            <v>0</v>
          </cell>
          <cell r="C31">
            <v>177957</v>
          </cell>
          <cell r="D31">
            <v>730080</v>
          </cell>
          <cell r="E31">
            <v>766584</v>
          </cell>
          <cell r="F31">
            <v>803088</v>
          </cell>
          <cell r="G31">
            <v>821340</v>
          </cell>
          <cell r="H31">
            <v>839592</v>
          </cell>
          <cell r="I31">
            <v>876096</v>
          </cell>
          <cell r="J31">
            <v>876096</v>
          </cell>
          <cell r="K31">
            <v>912600</v>
          </cell>
        </row>
        <row r="32">
          <cell r="A32" t="str">
            <v>Philadelphia</v>
          </cell>
          <cell r="B32">
            <v>0</v>
          </cell>
          <cell r="C32">
            <v>177957</v>
          </cell>
          <cell r="D32">
            <v>730080</v>
          </cell>
          <cell r="E32">
            <v>766584</v>
          </cell>
          <cell r="F32">
            <v>803088</v>
          </cell>
          <cell r="G32">
            <v>821340</v>
          </cell>
          <cell r="H32">
            <v>839592</v>
          </cell>
          <cell r="I32">
            <v>876096</v>
          </cell>
          <cell r="J32">
            <v>876096</v>
          </cell>
          <cell r="K32">
            <v>912600</v>
          </cell>
        </row>
        <row r="33">
          <cell r="A33" t="str">
            <v>Atlanta</v>
          </cell>
          <cell r="B33">
            <v>0</v>
          </cell>
          <cell r="C33">
            <v>0</v>
          </cell>
          <cell r="D33">
            <v>377208</v>
          </cell>
          <cell r="E33">
            <v>1584273.6</v>
          </cell>
          <cell r="F33">
            <v>1659715.2</v>
          </cell>
          <cell r="G33">
            <v>1697436</v>
          </cell>
          <cell r="H33">
            <v>1735156.8</v>
          </cell>
          <cell r="I33">
            <v>1810598.4000000001</v>
          </cell>
          <cell r="J33">
            <v>1810598.4000000001</v>
          </cell>
          <cell r="K33">
            <v>1886040</v>
          </cell>
        </row>
        <row r="34">
          <cell r="A34" t="str">
            <v>Chicago</v>
          </cell>
          <cell r="B34">
            <v>0</v>
          </cell>
          <cell r="C34">
            <v>225412.2</v>
          </cell>
          <cell r="D34">
            <v>924768</v>
          </cell>
          <cell r="E34">
            <v>971006.4</v>
          </cell>
          <cell r="F34">
            <v>1017244.8</v>
          </cell>
          <cell r="G34">
            <v>1040364</v>
          </cell>
          <cell r="H34">
            <v>1063483.2</v>
          </cell>
          <cell r="I34">
            <v>1109721.6000000001</v>
          </cell>
          <cell r="J34">
            <v>1109721.6000000001</v>
          </cell>
          <cell r="K34">
            <v>1155960</v>
          </cell>
        </row>
        <row r="35">
          <cell r="A35" t="str">
            <v>Dallas</v>
          </cell>
          <cell r="B35">
            <v>0</v>
          </cell>
          <cell r="C35">
            <v>0</v>
          </cell>
          <cell r="D35">
            <v>0</v>
          </cell>
          <cell r="E35">
            <v>204422.39999999999</v>
          </cell>
          <cell r="F35">
            <v>856627.20000000007</v>
          </cell>
          <cell r="G35">
            <v>876096</v>
          </cell>
          <cell r="H35">
            <v>895564.80000000005</v>
          </cell>
          <cell r="I35">
            <v>934502.40000000002</v>
          </cell>
          <cell r="J35">
            <v>934502.40000000002</v>
          </cell>
          <cell r="K35">
            <v>973440</v>
          </cell>
        </row>
        <row r="36">
          <cell r="A36" t="str">
            <v>Kansas City</v>
          </cell>
          <cell r="B36">
            <v>0</v>
          </cell>
          <cell r="C36">
            <v>0</v>
          </cell>
          <cell r="D36">
            <v>85176</v>
          </cell>
          <cell r="E36">
            <v>357739.2</v>
          </cell>
          <cell r="F36">
            <v>374774.4</v>
          </cell>
          <cell r="G36">
            <v>383292</v>
          </cell>
          <cell r="H36">
            <v>391809.60000000003</v>
          </cell>
          <cell r="I36">
            <v>408844.79999999999</v>
          </cell>
          <cell r="J36">
            <v>408844.79999999999</v>
          </cell>
          <cell r="K36">
            <v>425880</v>
          </cell>
        </row>
        <row r="37">
          <cell r="A37" t="str">
            <v>Denver</v>
          </cell>
          <cell r="B37">
            <v>0</v>
          </cell>
          <cell r="C37">
            <v>0</v>
          </cell>
          <cell r="D37">
            <v>0</v>
          </cell>
          <cell r="E37">
            <v>63882</v>
          </cell>
          <cell r="F37">
            <v>267696</v>
          </cell>
          <cell r="G37">
            <v>273780</v>
          </cell>
          <cell r="H37">
            <v>279864</v>
          </cell>
          <cell r="I37">
            <v>292032</v>
          </cell>
          <cell r="J37">
            <v>292032</v>
          </cell>
          <cell r="K37">
            <v>304200</v>
          </cell>
        </row>
        <row r="38">
          <cell r="A38" t="str">
            <v>San Francisco</v>
          </cell>
          <cell r="B38">
            <v>0</v>
          </cell>
          <cell r="C38">
            <v>0</v>
          </cell>
          <cell r="D38">
            <v>0</v>
          </cell>
          <cell r="E38">
            <v>255528</v>
          </cell>
          <cell r="F38">
            <v>1070784</v>
          </cell>
          <cell r="G38">
            <v>1095120</v>
          </cell>
          <cell r="H38">
            <v>1119456</v>
          </cell>
          <cell r="I38">
            <v>1168128</v>
          </cell>
          <cell r="J38">
            <v>1168128</v>
          </cell>
          <cell r="K38">
            <v>1216800</v>
          </cell>
        </row>
        <row r="39">
          <cell r="A39" t="str">
            <v>Seattle</v>
          </cell>
          <cell r="B39">
            <v>0</v>
          </cell>
          <cell r="C39">
            <v>0</v>
          </cell>
          <cell r="D39">
            <v>0</v>
          </cell>
          <cell r="E39">
            <v>51105.599999999999</v>
          </cell>
          <cell r="F39">
            <v>214156.80000000002</v>
          </cell>
          <cell r="G39">
            <v>219024</v>
          </cell>
          <cell r="H39">
            <v>223891.20000000001</v>
          </cell>
          <cell r="I39">
            <v>233625.60000000001</v>
          </cell>
          <cell r="J39">
            <v>233625.60000000001</v>
          </cell>
          <cell r="K39">
            <v>243360</v>
          </cell>
        </row>
        <row r="41">
          <cell r="A41" t="str">
            <v>Total</v>
          </cell>
          <cell r="B41">
            <v>0</v>
          </cell>
          <cell r="C41">
            <v>581326.19999999995</v>
          </cell>
          <cell r="D41">
            <v>2932488</v>
          </cell>
          <cell r="E41">
            <v>5378864.4000000004</v>
          </cell>
          <cell r="F41">
            <v>7441948.7999999998</v>
          </cell>
          <cell r="G41">
            <v>7611084</v>
          </cell>
          <cell r="H41">
            <v>7780219.2000000002</v>
          </cell>
          <cell r="I41">
            <v>8118489.6000000006</v>
          </cell>
          <cell r="J41">
            <v>8118489.6000000006</v>
          </cell>
          <cell r="K41">
            <v>8456760</v>
          </cell>
        </row>
        <row r="43">
          <cell r="B43">
            <v>2002</v>
          </cell>
          <cell r="C43">
            <v>2003</v>
          </cell>
          <cell r="D43">
            <v>2004</v>
          </cell>
          <cell r="E43">
            <v>2005</v>
          </cell>
          <cell r="F43">
            <v>2006</v>
          </cell>
          <cell r="G43">
            <v>2007</v>
          </cell>
          <cell r="H43">
            <v>2008</v>
          </cell>
          <cell r="I43">
            <v>2009</v>
          </cell>
          <cell r="J43">
            <v>2010</v>
          </cell>
          <cell r="K43">
            <v>2011</v>
          </cell>
        </row>
        <row r="44">
          <cell r="A44" t="str">
            <v>CCL Phase-out</v>
          </cell>
          <cell r="B44">
            <v>0</v>
          </cell>
          <cell r="C44">
            <v>0</v>
          </cell>
          <cell r="D44">
            <v>0</v>
          </cell>
          <cell r="E44">
            <v>454893.54953000002</v>
          </cell>
          <cell r="F44">
            <v>1364680.6485900001</v>
          </cell>
          <cell r="G44">
            <v>1819574.1981200001</v>
          </cell>
          <cell r="H44">
            <v>1819574.1981200001</v>
          </cell>
          <cell r="I44">
            <v>1819574.1981200001</v>
          </cell>
          <cell r="J44">
            <v>1819574.1981200001</v>
          </cell>
          <cell r="K44">
            <v>1819574.1981200001</v>
          </cell>
        </row>
        <row r="46">
          <cell r="A46" t="str">
            <v>Annual CCL Operations Cost</v>
          </cell>
          <cell r="B46">
            <v>1819574.1981200001</v>
          </cell>
          <cell r="C46">
            <v>1819574.1981200001</v>
          </cell>
          <cell r="D46">
            <v>1819574.1981200001</v>
          </cell>
          <cell r="E46">
            <v>1819574.1981200001</v>
          </cell>
          <cell r="F46">
            <v>1819574.1981200001</v>
          </cell>
          <cell r="G46">
            <v>1819574.1981200001</v>
          </cell>
          <cell r="H46">
            <v>1819574.1981200001</v>
          </cell>
          <cell r="I46">
            <v>1819574.1981200001</v>
          </cell>
          <cell r="J46">
            <v>1819574.1981200001</v>
          </cell>
          <cell r="K46">
            <v>1819574.1981200001</v>
          </cell>
        </row>
        <row r="48">
          <cell r="A48" t="str">
            <v>Percent Phase-out</v>
          </cell>
          <cell r="B48">
            <v>0</v>
          </cell>
          <cell r="C48">
            <v>0</v>
          </cell>
          <cell r="D48">
            <v>0</v>
          </cell>
          <cell r="E48">
            <v>0.25</v>
          </cell>
          <cell r="F48">
            <v>0.75</v>
          </cell>
          <cell r="G48">
            <v>1</v>
          </cell>
          <cell r="H48">
            <v>1</v>
          </cell>
          <cell r="I48">
            <v>1</v>
          </cell>
          <cell r="J48">
            <v>1</v>
          </cell>
          <cell r="K48">
            <v>1</v>
          </cell>
        </row>
        <row r="51">
          <cell r="B51">
            <v>2002</v>
          </cell>
          <cell r="C51">
            <v>2003</v>
          </cell>
          <cell r="D51">
            <v>2004</v>
          </cell>
          <cell r="E51">
            <v>2005</v>
          </cell>
          <cell r="F51">
            <v>2006</v>
          </cell>
          <cell r="G51">
            <v>2007</v>
          </cell>
          <cell r="H51">
            <v>2008</v>
          </cell>
          <cell r="I51">
            <v>2009</v>
          </cell>
          <cell r="J51">
            <v>2010</v>
          </cell>
          <cell r="K51">
            <v>2011</v>
          </cell>
        </row>
        <row r="52">
          <cell r="A52" t="str">
            <v>Mega-Site Labor Efficiencies</v>
          </cell>
          <cell r="B52">
            <v>0</v>
          </cell>
          <cell r="C52">
            <v>54613.73329496404</v>
          </cell>
          <cell r="D52">
            <v>104769.20264748203</v>
          </cell>
          <cell r="E52">
            <v>154924.67200000002</v>
          </cell>
          <cell r="F52">
            <v>154924.67200000002</v>
          </cell>
          <cell r="G52">
            <v>154924.67200000002</v>
          </cell>
          <cell r="H52">
            <v>154924.67200000002</v>
          </cell>
          <cell r="I52">
            <v>154924.67200000002</v>
          </cell>
          <cell r="J52">
            <v>154924.67200000002</v>
          </cell>
          <cell r="K52">
            <v>154924.67200000002</v>
          </cell>
        </row>
        <row r="54">
          <cell r="A54" t="str">
            <v>Annual Separation/ACTI (Scene II) Activity Costs</v>
          </cell>
          <cell r="B54">
            <v>154924.67200000002</v>
          </cell>
          <cell r="C54">
            <v>154924.67200000002</v>
          </cell>
          <cell r="D54">
            <v>154924.67200000002</v>
          </cell>
          <cell r="E54">
            <v>154924.67200000002</v>
          </cell>
          <cell r="F54">
            <v>154924.67200000002</v>
          </cell>
          <cell r="G54">
            <v>154924.67200000002</v>
          </cell>
          <cell r="H54">
            <v>154924.67200000002</v>
          </cell>
          <cell r="I54">
            <v>154924.67200000002</v>
          </cell>
          <cell r="J54">
            <v>154924.67200000002</v>
          </cell>
          <cell r="K54">
            <v>154924.67200000002</v>
          </cell>
        </row>
        <row r="55">
          <cell r="A55" t="str">
            <v>Implementation Percentages</v>
          </cell>
          <cell r="B55">
            <v>0</v>
          </cell>
          <cell r="C55">
            <v>0.35251798561151082</v>
          </cell>
          <cell r="D55">
            <v>0.32374100719424465</v>
          </cell>
          <cell r="E55">
            <v>0.32374100719424459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</row>
        <row r="56">
          <cell r="A56" t="str">
            <v>Cumulative Implementation Percentages</v>
          </cell>
          <cell r="B56">
            <v>0</v>
          </cell>
          <cell r="C56">
            <v>0.35251798561151082</v>
          </cell>
          <cell r="D56">
            <v>0.67625899280575541</v>
          </cell>
          <cell r="E56">
            <v>1</v>
          </cell>
          <cell r="F56">
            <v>1</v>
          </cell>
          <cell r="G56">
            <v>1</v>
          </cell>
          <cell r="H56">
            <v>1</v>
          </cell>
          <cell r="I56">
            <v>1</v>
          </cell>
          <cell r="J56">
            <v>1</v>
          </cell>
          <cell r="K56">
            <v>1</v>
          </cell>
        </row>
        <row r="60">
          <cell r="A60" t="str">
            <v>Hearing Office Labor Efficiencies</v>
          </cell>
          <cell r="B60">
            <v>0</v>
          </cell>
          <cell r="C60">
            <v>27177.444604316552</v>
          </cell>
          <cell r="D60">
            <v>52136.322302158282</v>
          </cell>
          <cell r="E60">
            <v>77095.200000000012</v>
          </cell>
          <cell r="F60">
            <v>77095.200000000012</v>
          </cell>
          <cell r="G60">
            <v>77095.200000000012</v>
          </cell>
          <cell r="H60">
            <v>77095.200000000012</v>
          </cell>
          <cell r="I60">
            <v>77095.200000000012</v>
          </cell>
          <cell r="J60">
            <v>77095.200000000012</v>
          </cell>
          <cell r="K60">
            <v>77095.200000000012</v>
          </cell>
        </row>
        <row r="62">
          <cell r="A62" t="str">
            <v>Annual Separation Activity Costs</v>
          </cell>
          <cell r="B62">
            <v>77095.200000000012</v>
          </cell>
          <cell r="C62">
            <v>77095.200000000012</v>
          </cell>
          <cell r="D62">
            <v>77095.200000000012</v>
          </cell>
          <cell r="E62">
            <v>77095.200000000012</v>
          </cell>
          <cell r="F62">
            <v>77095.200000000012</v>
          </cell>
          <cell r="G62">
            <v>77095.200000000012</v>
          </cell>
          <cell r="H62">
            <v>77095.200000000012</v>
          </cell>
          <cell r="I62">
            <v>77095.200000000012</v>
          </cell>
          <cell r="J62">
            <v>77095.200000000012</v>
          </cell>
          <cell r="K62">
            <v>77095.200000000012</v>
          </cell>
        </row>
        <row r="63">
          <cell r="A63" t="str">
            <v>Implementation Percentages</v>
          </cell>
          <cell r="B63">
            <v>0</v>
          </cell>
          <cell r="C63">
            <v>0.35251798561151082</v>
          </cell>
          <cell r="D63">
            <v>0.32374100719424465</v>
          </cell>
          <cell r="E63">
            <v>0.32374100719424459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</row>
        <row r="64">
          <cell r="A64" t="str">
            <v>Cumulative Implementation Percentages</v>
          </cell>
          <cell r="B64">
            <v>0</v>
          </cell>
          <cell r="C64">
            <v>0.35251798561151082</v>
          </cell>
          <cell r="D64">
            <v>0.67625899280575541</v>
          </cell>
          <cell r="E64">
            <v>1</v>
          </cell>
          <cell r="F64">
            <v>1</v>
          </cell>
          <cell r="G64">
            <v>1</v>
          </cell>
          <cell r="H64">
            <v>1</v>
          </cell>
          <cell r="I64">
            <v>1</v>
          </cell>
          <cell r="J64">
            <v>1</v>
          </cell>
          <cell r="K64">
            <v>1</v>
          </cell>
        </row>
        <row r="68">
          <cell r="A68" t="str">
            <v>Analog Recorder Maintenance Savings</v>
          </cell>
          <cell r="B68">
            <v>0</v>
          </cell>
          <cell r="C68">
            <v>0</v>
          </cell>
          <cell r="D68">
            <v>12718.606564748203</v>
          </cell>
          <cell r="E68">
            <v>25618.907508992808</v>
          </cell>
          <cell r="F68">
            <v>39777.442031250008</v>
          </cell>
          <cell r="G68">
            <v>41766.314132812513</v>
          </cell>
          <cell r="H68">
            <v>43854.62983945314</v>
          </cell>
          <cell r="I68">
            <v>46047.361331425796</v>
          </cell>
          <cell r="J68">
            <v>48349.729397997085</v>
          </cell>
          <cell r="K68">
            <v>50767.215867896943</v>
          </cell>
        </row>
        <row r="70">
          <cell r="A70" t="str">
            <v>Current analog maintenance costs</v>
          </cell>
          <cell r="B70">
            <v>32725</v>
          </cell>
          <cell r="C70">
            <v>34361.25</v>
          </cell>
          <cell r="D70">
            <v>36079.3125</v>
          </cell>
          <cell r="E70">
            <v>37883.278125000004</v>
          </cell>
          <cell r="F70">
            <v>39777.442031250008</v>
          </cell>
          <cell r="G70">
            <v>41766.314132812513</v>
          </cell>
          <cell r="H70">
            <v>43854.62983945314</v>
          </cell>
          <cell r="I70">
            <v>46047.361331425796</v>
          </cell>
          <cell r="J70">
            <v>48349.729397997085</v>
          </cell>
          <cell r="K70">
            <v>50767.215867896943</v>
          </cell>
        </row>
        <row r="71">
          <cell r="A71" t="str">
            <v>Percent of analog equipment retired</v>
          </cell>
          <cell r="B71">
            <v>0</v>
          </cell>
          <cell r="C71">
            <v>0.35251798561151082</v>
          </cell>
          <cell r="D71">
            <v>0.32374100719424465</v>
          </cell>
          <cell r="E71">
            <v>0.32374100719424459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A72" t="str">
            <v>Cumulative Total</v>
          </cell>
          <cell r="B72">
            <v>0</v>
          </cell>
          <cell r="C72">
            <v>0.35251798561151082</v>
          </cell>
          <cell r="D72">
            <v>0.67625899280575541</v>
          </cell>
          <cell r="E72">
            <v>1</v>
          </cell>
          <cell r="F72">
            <v>1</v>
          </cell>
          <cell r="G72">
            <v>1</v>
          </cell>
          <cell r="H72">
            <v>1</v>
          </cell>
          <cell r="I72">
            <v>1</v>
          </cell>
          <cell r="J72">
            <v>1</v>
          </cell>
          <cell r="K72">
            <v>1</v>
          </cell>
        </row>
        <row r="76">
          <cell r="A76" t="str">
            <v>Cassette Purchase Savings</v>
          </cell>
          <cell r="B76">
            <v>0</v>
          </cell>
          <cell r="C76">
            <v>13201.715</v>
          </cell>
          <cell r="D76">
            <v>67252.920000000013</v>
          </cell>
          <cell r="E76">
            <v>121514.79625000003</v>
          </cell>
          <cell r="F76">
            <v>166163.72500000001</v>
          </cell>
          <cell r="G76">
            <v>172239.41500000004</v>
          </cell>
          <cell r="H76">
            <v>178347.77000000002</v>
          </cell>
          <cell r="I76">
            <v>182692.21500000005</v>
          </cell>
          <cell r="J76">
            <v>187069.32500000004</v>
          </cell>
          <cell r="K76">
            <v>190662.47500000001</v>
          </cell>
        </row>
        <row r="78">
          <cell r="A78" t="str">
            <v>Total Possible Benefits</v>
          </cell>
        </row>
        <row r="79">
          <cell r="A79" t="str">
            <v>Boston</v>
          </cell>
          <cell r="B79">
            <v>0</v>
          </cell>
          <cell r="C79">
            <v>0</v>
          </cell>
          <cell r="D79">
            <v>7813.3600000000006</v>
          </cell>
          <cell r="E79">
            <v>8081.4950000000026</v>
          </cell>
          <cell r="F79">
            <v>8367.7250000000004</v>
          </cell>
          <cell r="G79">
            <v>8673.6950000000033</v>
          </cell>
          <cell r="H79">
            <v>8981.3100000000013</v>
          </cell>
          <cell r="I79">
            <v>9200.0950000000012</v>
          </cell>
          <cell r="J79">
            <v>9420.5250000000033</v>
          </cell>
          <cell r="K79">
            <v>9601.475000000004</v>
          </cell>
        </row>
        <row r="80">
          <cell r="A80" t="str">
            <v>New York</v>
          </cell>
          <cell r="B80">
            <v>0</v>
          </cell>
          <cell r="C80">
            <v>16165.3</v>
          </cell>
          <cell r="D80">
            <v>16743.400000000005</v>
          </cell>
          <cell r="E80">
            <v>17317.975000000002</v>
          </cell>
          <cell r="F80">
            <v>17931.325000000001</v>
          </cell>
          <cell r="G80">
            <v>18586.975000000002</v>
          </cell>
          <cell r="H80">
            <v>19246.150000000005</v>
          </cell>
          <cell r="I80">
            <v>19714.975000000002</v>
          </cell>
          <cell r="J80">
            <v>20187.325000000001</v>
          </cell>
          <cell r="K80">
            <v>20575.075000000001</v>
          </cell>
        </row>
        <row r="81">
          <cell r="A81" t="str">
            <v>Philadelphia</v>
          </cell>
          <cell r="B81">
            <v>0</v>
          </cell>
          <cell r="C81">
            <v>16165.3</v>
          </cell>
          <cell r="D81">
            <v>16743.400000000005</v>
          </cell>
          <cell r="E81">
            <v>17317.975000000002</v>
          </cell>
          <cell r="F81">
            <v>17931.325000000001</v>
          </cell>
          <cell r="G81">
            <v>18586.975000000002</v>
          </cell>
          <cell r="H81">
            <v>19246.150000000005</v>
          </cell>
          <cell r="I81">
            <v>19714.975000000002</v>
          </cell>
          <cell r="J81">
            <v>20187.325000000001</v>
          </cell>
          <cell r="K81">
            <v>20575.075000000001</v>
          </cell>
        </row>
        <row r="82">
          <cell r="A82" t="str">
            <v>Atlanta</v>
          </cell>
          <cell r="B82">
            <v>0</v>
          </cell>
          <cell r="C82">
            <v>0</v>
          </cell>
          <cell r="D82">
            <v>34603.680000000008</v>
          </cell>
          <cell r="E82">
            <v>35791.135000000002</v>
          </cell>
          <cell r="F82">
            <v>37058.725000000013</v>
          </cell>
          <cell r="G82">
            <v>38413.735000000008</v>
          </cell>
          <cell r="H82">
            <v>39776.030000000013</v>
          </cell>
          <cell r="I82">
            <v>40744.935000000005</v>
          </cell>
          <cell r="J82">
            <v>41721.125000000007</v>
          </cell>
          <cell r="K82">
            <v>42522.475000000013</v>
          </cell>
        </row>
        <row r="83">
          <cell r="A83" t="str">
            <v>Chicago</v>
          </cell>
          <cell r="B83">
            <v>0</v>
          </cell>
          <cell r="C83">
            <v>20476.260000000006</v>
          </cell>
          <cell r="D83">
            <v>21208.520000000004</v>
          </cell>
          <cell r="E83">
            <v>21936.314999999999</v>
          </cell>
          <cell r="F83">
            <v>22713.225000000006</v>
          </cell>
          <cell r="G83">
            <v>23543.715000000004</v>
          </cell>
          <cell r="H83">
            <v>24378.670000000006</v>
          </cell>
          <cell r="I83">
            <v>24972.515000000007</v>
          </cell>
          <cell r="J83">
            <v>25570.825000000004</v>
          </cell>
          <cell r="K83">
            <v>26061.975000000006</v>
          </cell>
        </row>
        <row r="84">
          <cell r="A84" t="str">
            <v>Dallas</v>
          </cell>
          <cell r="B84">
            <v>0</v>
          </cell>
          <cell r="C84">
            <v>0</v>
          </cell>
          <cell r="D84">
            <v>0</v>
          </cell>
          <cell r="E84">
            <v>18472.66</v>
          </cell>
          <cell r="F84">
            <v>19126.900000000001</v>
          </cell>
          <cell r="G84">
            <v>19826.260000000006</v>
          </cell>
          <cell r="H84">
            <v>20529.380000000008</v>
          </cell>
          <cell r="I84">
            <v>21029.460000000003</v>
          </cell>
          <cell r="J84">
            <v>21533.300000000003</v>
          </cell>
          <cell r="K84">
            <v>21946.9</v>
          </cell>
        </row>
        <row r="85">
          <cell r="A85" t="str">
            <v>Kansas City</v>
          </cell>
          <cell r="B85">
            <v>0</v>
          </cell>
          <cell r="C85">
            <v>0</v>
          </cell>
          <cell r="D85">
            <v>7813.3600000000006</v>
          </cell>
          <cell r="E85">
            <v>8081.4950000000026</v>
          </cell>
          <cell r="F85">
            <v>8367.7250000000004</v>
          </cell>
          <cell r="G85">
            <v>8673.6950000000033</v>
          </cell>
          <cell r="H85">
            <v>8981.3100000000013</v>
          </cell>
          <cell r="I85">
            <v>9200.0950000000012</v>
          </cell>
          <cell r="J85">
            <v>9420.5250000000033</v>
          </cell>
          <cell r="K85">
            <v>9601.475000000004</v>
          </cell>
        </row>
        <row r="86">
          <cell r="A86" t="str">
            <v>Denver</v>
          </cell>
          <cell r="B86">
            <v>0</v>
          </cell>
          <cell r="C86">
            <v>0</v>
          </cell>
          <cell r="D86">
            <v>0</v>
          </cell>
          <cell r="E86">
            <v>5772.3250000000016</v>
          </cell>
          <cell r="F86">
            <v>5976.7750000000005</v>
          </cell>
          <cell r="G86">
            <v>6195.3250000000016</v>
          </cell>
          <cell r="H86">
            <v>6415.0500000000011</v>
          </cell>
          <cell r="I86">
            <v>6571.3250000000007</v>
          </cell>
          <cell r="J86">
            <v>6728.7749999999996</v>
          </cell>
          <cell r="K86">
            <v>6858.0249999999996</v>
          </cell>
        </row>
        <row r="87">
          <cell r="A87" t="str">
            <v>San Francisco</v>
          </cell>
          <cell r="B87">
            <v>0</v>
          </cell>
          <cell r="C87">
            <v>0</v>
          </cell>
          <cell r="D87">
            <v>0</v>
          </cell>
          <cell r="E87">
            <v>23090.800000000007</v>
          </cell>
          <cell r="F87">
            <v>23908.600000000002</v>
          </cell>
          <cell r="G87">
            <v>24782.800000000007</v>
          </cell>
          <cell r="H87">
            <v>25661.700000000004</v>
          </cell>
          <cell r="I87">
            <v>26286.800000000003</v>
          </cell>
          <cell r="J87">
            <v>26916.6</v>
          </cell>
          <cell r="K87">
            <v>27433.599999999999</v>
          </cell>
        </row>
        <row r="88">
          <cell r="A88" t="str">
            <v>Seattle</v>
          </cell>
          <cell r="B88">
            <v>0</v>
          </cell>
          <cell r="C88">
            <v>0</v>
          </cell>
          <cell r="D88">
            <v>0</v>
          </cell>
          <cell r="E88">
            <v>4617.84</v>
          </cell>
          <cell r="F88">
            <v>4781.4000000000005</v>
          </cell>
          <cell r="G88">
            <v>4956.2400000000016</v>
          </cell>
          <cell r="H88">
            <v>5132.0200000000013</v>
          </cell>
          <cell r="I88">
            <v>5257.0400000000009</v>
          </cell>
          <cell r="J88">
            <v>5383.0000000000009</v>
          </cell>
          <cell r="K88">
            <v>5486.4000000000005</v>
          </cell>
        </row>
        <row r="90">
          <cell r="A90" t="str">
            <v>Percent of Benefits Achieved</v>
          </cell>
        </row>
        <row r="91">
          <cell r="A91" t="str">
            <v>Boston</v>
          </cell>
          <cell r="B91">
            <v>0</v>
          </cell>
          <cell r="C91">
            <v>0</v>
          </cell>
          <cell r="D91">
            <v>0.25</v>
          </cell>
          <cell r="E91">
            <v>1</v>
          </cell>
          <cell r="F91">
            <v>1</v>
          </cell>
          <cell r="G91">
            <v>1</v>
          </cell>
          <cell r="H91">
            <v>1</v>
          </cell>
          <cell r="I91">
            <v>1</v>
          </cell>
          <cell r="J91">
            <v>1</v>
          </cell>
          <cell r="K91">
            <v>1</v>
          </cell>
        </row>
        <row r="92">
          <cell r="A92" t="str">
            <v>New York</v>
          </cell>
          <cell r="B92">
            <v>0</v>
          </cell>
          <cell r="C92">
            <v>0.25</v>
          </cell>
          <cell r="D92">
            <v>1</v>
          </cell>
          <cell r="E92">
            <v>1</v>
          </cell>
          <cell r="F92">
            <v>1</v>
          </cell>
          <cell r="G92">
            <v>1</v>
          </cell>
          <cell r="H92">
            <v>1</v>
          </cell>
          <cell r="I92">
            <v>1</v>
          </cell>
          <cell r="J92">
            <v>1</v>
          </cell>
          <cell r="K92">
            <v>1</v>
          </cell>
        </row>
        <row r="93">
          <cell r="A93" t="str">
            <v>Philadelphia</v>
          </cell>
          <cell r="B93">
            <v>0</v>
          </cell>
          <cell r="C93">
            <v>0.25</v>
          </cell>
          <cell r="D93">
            <v>1</v>
          </cell>
          <cell r="E93">
            <v>1</v>
          </cell>
          <cell r="F93">
            <v>1</v>
          </cell>
          <cell r="G93">
            <v>1</v>
          </cell>
          <cell r="H93">
            <v>1</v>
          </cell>
          <cell r="I93">
            <v>1</v>
          </cell>
          <cell r="J93">
            <v>1</v>
          </cell>
          <cell r="K93">
            <v>1</v>
          </cell>
        </row>
        <row r="94">
          <cell r="A94" t="str">
            <v>Atlanta</v>
          </cell>
          <cell r="B94">
            <v>0</v>
          </cell>
          <cell r="C94">
            <v>0</v>
          </cell>
          <cell r="D94">
            <v>0.25</v>
          </cell>
          <cell r="E94">
            <v>1</v>
          </cell>
          <cell r="F94">
            <v>1</v>
          </cell>
          <cell r="G94">
            <v>1</v>
          </cell>
          <cell r="H94">
            <v>1</v>
          </cell>
          <cell r="I94">
            <v>1</v>
          </cell>
          <cell r="J94">
            <v>1</v>
          </cell>
          <cell r="K94">
            <v>1</v>
          </cell>
        </row>
        <row r="95">
          <cell r="A95" t="str">
            <v>Chicago</v>
          </cell>
          <cell r="B95">
            <v>0</v>
          </cell>
          <cell r="C95">
            <v>0.25</v>
          </cell>
          <cell r="D95">
            <v>1</v>
          </cell>
          <cell r="E95">
            <v>1</v>
          </cell>
          <cell r="F95">
            <v>1</v>
          </cell>
          <cell r="G95">
            <v>1</v>
          </cell>
          <cell r="H95">
            <v>1</v>
          </cell>
          <cell r="I95">
            <v>1</v>
          </cell>
          <cell r="J95">
            <v>1</v>
          </cell>
          <cell r="K95">
            <v>1</v>
          </cell>
        </row>
        <row r="96">
          <cell r="A96" t="str">
            <v>Dallas</v>
          </cell>
          <cell r="B96">
            <v>0</v>
          </cell>
          <cell r="C96">
            <v>0</v>
          </cell>
          <cell r="D96">
            <v>0</v>
          </cell>
          <cell r="E96">
            <v>0.25</v>
          </cell>
          <cell r="F96">
            <v>1</v>
          </cell>
          <cell r="G96">
            <v>1</v>
          </cell>
          <cell r="H96">
            <v>1</v>
          </cell>
          <cell r="I96">
            <v>1</v>
          </cell>
          <cell r="J96">
            <v>1</v>
          </cell>
          <cell r="K96">
            <v>1</v>
          </cell>
        </row>
        <row r="97">
          <cell r="A97" t="str">
            <v>Kansas City</v>
          </cell>
          <cell r="B97">
            <v>0</v>
          </cell>
          <cell r="C97">
            <v>0</v>
          </cell>
          <cell r="D97">
            <v>0.25</v>
          </cell>
          <cell r="E97">
            <v>1</v>
          </cell>
          <cell r="F97">
            <v>1</v>
          </cell>
          <cell r="G97">
            <v>1</v>
          </cell>
          <cell r="H97">
            <v>1</v>
          </cell>
          <cell r="I97">
            <v>1</v>
          </cell>
          <cell r="J97">
            <v>1</v>
          </cell>
          <cell r="K97">
            <v>1</v>
          </cell>
        </row>
        <row r="98">
          <cell r="A98" t="str">
            <v>Denver</v>
          </cell>
          <cell r="B98">
            <v>0</v>
          </cell>
          <cell r="C98">
            <v>0</v>
          </cell>
          <cell r="D98">
            <v>0</v>
          </cell>
          <cell r="E98">
            <v>0.25</v>
          </cell>
          <cell r="F98">
            <v>1</v>
          </cell>
          <cell r="G98">
            <v>1</v>
          </cell>
          <cell r="H98">
            <v>1</v>
          </cell>
          <cell r="I98">
            <v>1</v>
          </cell>
          <cell r="J98">
            <v>1</v>
          </cell>
          <cell r="K98">
            <v>1</v>
          </cell>
        </row>
        <row r="99">
          <cell r="A99" t="str">
            <v>San Francisco</v>
          </cell>
          <cell r="B99">
            <v>0</v>
          </cell>
          <cell r="C99">
            <v>0</v>
          </cell>
          <cell r="D99">
            <v>0</v>
          </cell>
          <cell r="E99">
            <v>0.25</v>
          </cell>
          <cell r="F99">
            <v>1</v>
          </cell>
          <cell r="G99">
            <v>1</v>
          </cell>
          <cell r="H99">
            <v>1</v>
          </cell>
          <cell r="I99">
            <v>1</v>
          </cell>
          <cell r="J99">
            <v>1</v>
          </cell>
          <cell r="K99">
            <v>1</v>
          </cell>
        </row>
        <row r="100">
          <cell r="A100" t="str">
            <v>Seattle</v>
          </cell>
          <cell r="B100">
            <v>0</v>
          </cell>
          <cell r="C100">
            <v>0</v>
          </cell>
          <cell r="D100">
            <v>0</v>
          </cell>
          <cell r="E100">
            <v>0.25</v>
          </cell>
          <cell r="F100">
            <v>1</v>
          </cell>
          <cell r="G100">
            <v>1</v>
          </cell>
          <cell r="H100">
            <v>1</v>
          </cell>
          <cell r="I100">
            <v>1</v>
          </cell>
          <cell r="J100">
            <v>1</v>
          </cell>
          <cell r="K100">
            <v>1</v>
          </cell>
        </row>
        <row r="102">
          <cell r="A102" t="str">
            <v xml:space="preserve">Region </v>
          </cell>
          <cell r="B102">
            <v>2002</v>
          </cell>
          <cell r="C102">
            <v>2003</v>
          </cell>
          <cell r="D102">
            <v>2004</v>
          </cell>
          <cell r="E102">
            <v>2005</v>
          </cell>
          <cell r="F102">
            <v>2006</v>
          </cell>
          <cell r="G102">
            <v>2007</v>
          </cell>
          <cell r="H102">
            <v>2008</v>
          </cell>
          <cell r="I102">
            <v>2009</v>
          </cell>
          <cell r="J102">
            <v>2010</v>
          </cell>
          <cell r="K102">
            <v>2011</v>
          </cell>
        </row>
        <row r="103">
          <cell r="A103" t="str">
            <v>Boston</v>
          </cell>
          <cell r="B103">
            <v>0</v>
          </cell>
          <cell r="C103">
            <v>0</v>
          </cell>
          <cell r="D103">
            <v>1953.3400000000001</v>
          </cell>
          <cell r="E103">
            <v>8081.4950000000026</v>
          </cell>
          <cell r="F103">
            <v>8367.7250000000004</v>
          </cell>
          <cell r="G103">
            <v>8673.6950000000033</v>
          </cell>
          <cell r="H103">
            <v>8981.3100000000013</v>
          </cell>
          <cell r="I103">
            <v>9200.0950000000012</v>
          </cell>
          <cell r="J103">
            <v>9420.5250000000033</v>
          </cell>
          <cell r="K103">
            <v>9601.475000000004</v>
          </cell>
        </row>
        <row r="104">
          <cell r="A104" t="str">
            <v>New York</v>
          </cell>
          <cell r="B104">
            <v>0</v>
          </cell>
          <cell r="C104">
            <v>4041.3249999999998</v>
          </cell>
          <cell r="D104">
            <v>16743.400000000005</v>
          </cell>
          <cell r="E104">
            <v>17317.975000000002</v>
          </cell>
          <cell r="F104">
            <v>17931.325000000001</v>
          </cell>
          <cell r="G104">
            <v>18586.975000000002</v>
          </cell>
          <cell r="H104">
            <v>19246.150000000005</v>
          </cell>
          <cell r="I104">
            <v>19714.975000000002</v>
          </cell>
          <cell r="J104">
            <v>20187.325000000001</v>
          </cell>
          <cell r="K104">
            <v>20575.075000000001</v>
          </cell>
        </row>
        <row r="105">
          <cell r="A105" t="str">
            <v>Philadelphia</v>
          </cell>
          <cell r="B105">
            <v>0</v>
          </cell>
          <cell r="C105">
            <v>4041.3249999999998</v>
          </cell>
          <cell r="D105">
            <v>16743.400000000005</v>
          </cell>
          <cell r="E105">
            <v>17317.975000000002</v>
          </cell>
          <cell r="F105">
            <v>17931.325000000001</v>
          </cell>
          <cell r="G105">
            <v>18586.975000000002</v>
          </cell>
          <cell r="H105">
            <v>19246.150000000005</v>
          </cell>
          <cell r="I105">
            <v>19714.975000000002</v>
          </cell>
          <cell r="J105">
            <v>20187.325000000001</v>
          </cell>
          <cell r="K105">
            <v>20575.075000000001</v>
          </cell>
        </row>
        <row r="106">
          <cell r="A106" t="str">
            <v>Atlanta</v>
          </cell>
          <cell r="B106">
            <v>0</v>
          </cell>
          <cell r="C106">
            <v>0</v>
          </cell>
          <cell r="D106">
            <v>8650.9200000000019</v>
          </cell>
          <cell r="E106">
            <v>35791.135000000002</v>
          </cell>
          <cell r="F106">
            <v>37058.725000000013</v>
          </cell>
          <cell r="G106">
            <v>38413.735000000008</v>
          </cell>
          <cell r="H106">
            <v>39776.030000000013</v>
          </cell>
          <cell r="I106">
            <v>40744.935000000005</v>
          </cell>
          <cell r="J106">
            <v>41721.125000000007</v>
          </cell>
          <cell r="K106">
            <v>42522.475000000013</v>
          </cell>
        </row>
        <row r="107">
          <cell r="A107" t="str">
            <v>Chicago</v>
          </cell>
          <cell r="B107">
            <v>0</v>
          </cell>
          <cell r="C107">
            <v>5119.0650000000014</v>
          </cell>
          <cell r="D107">
            <v>21208.520000000004</v>
          </cell>
          <cell r="E107">
            <v>21936.314999999999</v>
          </cell>
          <cell r="F107">
            <v>22713.225000000006</v>
          </cell>
          <cell r="G107">
            <v>23543.715000000004</v>
          </cell>
          <cell r="H107">
            <v>24378.670000000006</v>
          </cell>
          <cell r="I107">
            <v>24972.515000000007</v>
          </cell>
          <cell r="J107">
            <v>25570.825000000004</v>
          </cell>
          <cell r="K107">
            <v>26061.975000000006</v>
          </cell>
        </row>
        <row r="108">
          <cell r="A108" t="str">
            <v>Dallas</v>
          </cell>
          <cell r="B108">
            <v>0</v>
          </cell>
          <cell r="C108">
            <v>0</v>
          </cell>
          <cell r="D108">
            <v>0</v>
          </cell>
          <cell r="E108">
            <v>4618.165</v>
          </cell>
          <cell r="F108">
            <v>19126.900000000001</v>
          </cell>
          <cell r="G108">
            <v>19826.260000000006</v>
          </cell>
          <cell r="H108">
            <v>20529.380000000008</v>
          </cell>
          <cell r="I108">
            <v>21029.460000000003</v>
          </cell>
          <cell r="J108">
            <v>21533.300000000003</v>
          </cell>
          <cell r="K108">
            <v>21946.9</v>
          </cell>
        </row>
        <row r="109">
          <cell r="A109" t="str">
            <v>Kansas City</v>
          </cell>
          <cell r="B109">
            <v>0</v>
          </cell>
          <cell r="C109">
            <v>0</v>
          </cell>
          <cell r="D109">
            <v>1953.3400000000001</v>
          </cell>
          <cell r="E109">
            <v>8081.4950000000026</v>
          </cell>
          <cell r="F109">
            <v>8367.7250000000004</v>
          </cell>
          <cell r="G109">
            <v>8673.6950000000033</v>
          </cell>
          <cell r="H109">
            <v>8981.3100000000013</v>
          </cell>
          <cell r="I109">
            <v>9200.0950000000012</v>
          </cell>
          <cell r="J109">
            <v>9420.5250000000033</v>
          </cell>
          <cell r="K109">
            <v>9601.475000000004</v>
          </cell>
        </row>
        <row r="110">
          <cell r="A110" t="str">
            <v>Denver</v>
          </cell>
          <cell r="B110">
            <v>0</v>
          </cell>
          <cell r="C110">
            <v>0</v>
          </cell>
          <cell r="D110">
            <v>0</v>
          </cell>
          <cell r="E110">
            <v>1443.0812500000004</v>
          </cell>
          <cell r="F110">
            <v>5976.7750000000005</v>
          </cell>
          <cell r="G110">
            <v>6195.3250000000016</v>
          </cell>
          <cell r="H110">
            <v>6415.0500000000011</v>
          </cell>
          <cell r="I110">
            <v>6571.3250000000007</v>
          </cell>
          <cell r="J110">
            <v>6728.7749999999996</v>
          </cell>
          <cell r="K110">
            <v>6858.0249999999996</v>
          </cell>
        </row>
        <row r="111">
          <cell r="A111" t="str">
            <v>San Francisco</v>
          </cell>
          <cell r="B111">
            <v>0</v>
          </cell>
          <cell r="C111">
            <v>0</v>
          </cell>
          <cell r="D111">
            <v>0</v>
          </cell>
          <cell r="E111">
            <v>5772.7000000000016</v>
          </cell>
          <cell r="F111">
            <v>23908.600000000002</v>
          </cell>
          <cell r="G111">
            <v>24782.800000000007</v>
          </cell>
          <cell r="H111">
            <v>25661.700000000004</v>
          </cell>
          <cell r="I111">
            <v>26286.800000000003</v>
          </cell>
          <cell r="J111">
            <v>26916.6</v>
          </cell>
          <cell r="K111">
            <v>27433.599999999999</v>
          </cell>
        </row>
        <row r="112">
          <cell r="A112" t="str">
            <v>Seattle</v>
          </cell>
          <cell r="B112">
            <v>0</v>
          </cell>
          <cell r="C112">
            <v>0</v>
          </cell>
          <cell r="D112">
            <v>0</v>
          </cell>
          <cell r="E112">
            <v>1154.46</v>
          </cell>
          <cell r="F112">
            <v>4781.4000000000005</v>
          </cell>
          <cell r="G112">
            <v>4956.2400000000016</v>
          </cell>
          <cell r="H112">
            <v>5132.0200000000013</v>
          </cell>
          <cell r="I112">
            <v>5257.0400000000009</v>
          </cell>
          <cell r="J112">
            <v>5383.0000000000009</v>
          </cell>
          <cell r="K112">
            <v>5486.4000000000005</v>
          </cell>
        </row>
        <row r="114">
          <cell r="A114" t="str">
            <v>Total</v>
          </cell>
          <cell r="B114">
            <v>0</v>
          </cell>
          <cell r="C114">
            <v>13201.715</v>
          </cell>
          <cell r="D114">
            <v>67252.920000000013</v>
          </cell>
          <cell r="E114">
            <v>121514.79625000003</v>
          </cell>
          <cell r="F114">
            <v>166163.72500000001</v>
          </cell>
          <cell r="G114">
            <v>172239.41500000004</v>
          </cell>
          <cell r="H114">
            <v>178347.77000000002</v>
          </cell>
          <cell r="I114">
            <v>182692.21500000005</v>
          </cell>
          <cell r="J114">
            <v>187069.32500000004</v>
          </cell>
          <cell r="K114">
            <v>190662.47500000001</v>
          </cell>
        </row>
        <row r="116">
          <cell r="A116" t="str">
            <v>X</v>
          </cell>
        </row>
      </sheetData>
      <sheetData sheetId="3" refreshError="1">
        <row r="7">
          <cell r="B7">
            <v>95</v>
          </cell>
        </row>
        <row r="13">
          <cell r="B13">
            <v>748</v>
          </cell>
          <cell r="C13">
            <v>5</v>
          </cell>
          <cell r="G13">
            <v>6</v>
          </cell>
        </row>
        <row r="14">
          <cell r="B14">
            <v>130</v>
          </cell>
          <cell r="C14">
            <v>1</v>
          </cell>
          <cell r="G14">
            <v>-1</v>
          </cell>
        </row>
        <row r="15">
          <cell r="B15">
            <v>1015</v>
          </cell>
          <cell r="C15">
            <v>7</v>
          </cell>
          <cell r="G15">
            <v>5</v>
          </cell>
        </row>
        <row r="16">
          <cell r="B16">
            <v>1803</v>
          </cell>
          <cell r="C16">
            <v>13</v>
          </cell>
          <cell r="G16">
            <v>-1</v>
          </cell>
        </row>
        <row r="17">
          <cell r="B17">
            <v>340</v>
          </cell>
        </row>
        <row r="18">
          <cell r="B18">
            <v>24</v>
          </cell>
        </row>
        <row r="19">
          <cell r="B19">
            <v>24</v>
          </cell>
        </row>
        <row r="20">
          <cell r="B20">
            <v>37</v>
          </cell>
        </row>
        <row r="21">
          <cell r="B21">
            <v>6</v>
          </cell>
        </row>
        <row r="23">
          <cell r="B23">
            <v>0</v>
          </cell>
          <cell r="F23" t="str">
            <v>Boston</v>
          </cell>
          <cell r="G23">
            <v>2004</v>
          </cell>
          <cell r="H23">
            <v>7</v>
          </cell>
          <cell r="I23">
            <v>41</v>
          </cell>
          <cell r="J23">
            <v>6</v>
          </cell>
          <cell r="K23">
            <v>54</v>
          </cell>
          <cell r="L23">
            <v>90</v>
          </cell>
          <cell r="N23">
            <v>74</v>
          </cell>
        </row>
        <row r="24">
          <cell r="B24">
            <v>0</v>
          </cell>
          <cell r="F24" t="str">
            <v>New York</v>
          </cell>
          <cell r="G24">
            <v>2003</v>
          </cell>
          <cell r="H24">
            <v>15</v>
          </cell>
          <cell r="I24">
            <v>81</v>
          </cell>
          <cell r="J24">
            <v>14</v>
          </cell>
          <cell r="K24">
            <v>110</v>
          </cell>
          <cell r="L24">
            <v>194</v>
          </cell>
          <cell r="N24">
            <v>150</v>
          </cell>
        </row>
        <row r="25">
          <cell r="B25">
            <v>0</v>
          </cell>
          <cell r="F25" t="str">
            <v>Philadelphia</v>
          </cell>
          <cell r="G25">
            <v>2003</v>
          </cell>
          <cell r="H25">
            <v>15</v>
          </cell>
          <cell r="I25">
            <v>81</v>
          </cell>
          <cell r="J25">
            <v>14</v>
          </cell>
          <cell r="K25">
            <v>110</v>
          </cell>
          <cell r="L25">
            <v>194</v>
          </cell>
          <cell r="N25">
            <v>150</v>
          </cell>
        </row>
        <row r="26">
          <cell r="B26">
            <v>0.15</v>
          </cell>
          <cell r="F26" t="str">
            <v>Atlanta</v>
          </cell>
          <cell r="G26">
            <v>2004</v>
          </cell>
          <cell r="H26">
            <v>31</v>
          </cell>
          <cell r="I26">
            <v>161</v>
          </cell>
          <cell r="J26">
            <v>30</v>
          </cell>
          <cell r="K26">
            <v>222</v>
          </cell>
          <cell r="L26">
            <v>402</v>
          </cell>
          <cell r="N26">
            <v>302</v>
          </cell>
        </row>
        <row r="27">
          <cell r="F27" t="str">
            <v>Chicago</v>
          </cell>
          <cell r="G27">
            <v>2003</v>
          </cell>
          <cell r="H27">
            <v>19</v>
          </cell>
          <cell r="I27">
            <v>101</v>
          </cell>
          <cell r="J27">
            <v>18</v>
          </cell>
          <cell r="K27">
            <v>138</v>
          </cell>
          <cell r="L27">
            <v>246</v>
          </cell>
          <cell r="N27">
            <v>188</v>
          </cell>
        </row>
        <row r="28">
          <cell r="F28" t="str">
            <v>Dallas</v>
          </cell>
          <cell r="G28">
            <v>2005</v>
          </cell>
          <cell r="H28">
            <v>16</v>
          </cell>
          <cell r="I28">
            <v>86</v>
          </cell>
          <cell r="J28">
            <v>15</v>
          </cell>
          <cell r="K28">
            <v>117</v>
          </cell>
          <cell r="L28">
            <v>207</v>
          </cell>
          <cell r="N28">
            <v>160</v>
          </cell>
        </row>
        <row r="29">
          <cell r="F29" t="str">
            <v>Kansas City</v>
          </cell>
          <cell r="G29">
            <v>2004</v>
          </cell>
          <cell r="H29">
            <v>7</v>
          </cell>
          <cell r="I29">
            <v>41</v>
          </cell>
          <cell r="J29">
            <v>6</v>
          </cell>
          <cell r="K29">
            <v>54</v>
          </cell>
          <cell r="L29">
            <v>90</v>
          </cell>
          <cell r="N29">
            <v>74</v>
          </cell>
        </row>
        <row r="30">
          <cell r="B30">
            <v>1</v>
          </cell>
          <cell r="F30" t="str">
            <v>Denver</v>
          </cell>
          <cell r="G30">
            <v>2005</v>
          </cell>
          <cell r="H30">
            <v>5</v>
          </cell>
          <cell r="I30">
            <v>31</v>
          </cell>
          <cell r="J30">
            <v>4</v>
          </cell>
          <cell r="K30">
            <v>40</v>
          </cell>
          <cell r="L30">
            <v>64</v>
          </cell>
          <cell r="N30">
            <v>55</v>
          </cell>
        </row>
        <row r="31">
          <cell r="B31">
            <v>1</v>
          </cell>
          <cell r="F31" t="str">
            <v>San Francisco</v>
          </cell>
          <cell r="G31">
            <v>2005</v>
          </cell>
          <cell r="H31">
            <v>20</v>
          </cell>
          <cell r="I31">
            <v>106</v>
          </cell>
          <cell r="J31">
            <v>19</v>
          </cell>
          <cell r="K31">
            <v>145</v>
          </cell>
          <cell r="L31">
            <v>259</v>
          </cell>
          <cell r="N31">
            <v>198</v>
          </cell>
        </row>
        <row r="32">
          <cell r="B32">
            <v>2</v>
          </cell>
          <cell r="F32" t="str">
            <v>Seattle</v>
          </cell>
          <cell r="G32">
            <v>2005</v>
          </cell>
          <cell r="H32">
            <v>4</v>
          </cell>
          <cell r="I32">
            <v>26</v>
          </cell>
          <cell r="J32">
            <v>3</v>
          </cell>
          <cell r="K32">
            <v>33</v>
          </cell>
          <cell r="L32">
            <v>51</v>
          </cell>
          <cell r="N32">
            <v>46</v>
          </cell>
        </row>
        <row r="35">
          <cell r="B35">
            <v>100</v>
          </cell>
        </row>
        <row r="38">
          <cell r="B38">
            <v>7535</v>
          </cell>
        </row>
        <row r="39">
          <cell r="B39">
            <v>500</v>
          </cell>
        </row>
        <row r="40">
          <cell r="B40">
            <v>600</v>
          </cell>
        </row>
        <row r="45">
          <cell r="B45">
            <v>1</v>
          </cell>
        </row>
        <row r="46">
          <cell r="B46">
            <v>1</v>
          </cell>
        </row>
        <row r="47">
          <cell r="B47">
            <v>1</v>
          </cell>
        </row>
        <row r="48">
          <cell r="B48">
            <v>1</v>
          </cell>
        </row>
        <row r="49">
          <cell r="B49">
            <v>1</v>
          </cell>
        </row>
        <row r="50">
          <cell r="B50">
            <v>1</v>
          </cell>
        </row>
        <row r="51">
          <cell r="B51">
            <v>1</v>
          </cell>
        </row>
        <row r="52">
          <cell r="B52">
            <v>1</v>
          </cell>
        </row>
        <row r="56">
          <cell r="B56">
            <v>0</v>
          </cell>
        </row>
        <row r="61">
          <cell r="B61">
            <v>1303</v>
          </cell>
        </row>
        <row r="62">
          <cell r="B62">
            <v>1872</v>
          </cell>
        </row>
        <row r="63">
          <cell r="B63">
            <v>0.65</v>
          </cell>
        </row>
        <row r="64">
          <cell r="B64">
            <v>0.25</v>
          </cell>
        </row>
        <row r="67">
          <cell r="B67">
            <v>0.5</v>
          </cell>
        </row>
        <row r="68">
          <cell r="B68">
            <v>0.3</v>
          </cell>
        </row>
        <row r="69">
          <cell r="B69">
            <v>0.2</v>
          </cell>
        </row>
        <row r="74">
          <cell r="B74">
            <v>52600</v>
          </cell>
        </row>
        <row r="75">
          <cell r="B75">
            <v>1.07</v>
          </cell>
        </row>
        <row r="76">
          <cell r="B76">
            <v>1</v>
          </cell>
        </row>
        <row r="79">
          <cell r="B79">
            <v>87.5</v>
          </cell>
        </row>
        <row r="80">
          <cell r="B80">
            <v>374</v>
          </cell>
        </row>
        <row r="81">
          <cell r="B81">
            <v>0.05</v>
          </cell>
        </row>
        <row r="99">
          <cell r="B99">
            <v>1819574.1981200001</v>
          </cell>
        </row>
        <row r="126">
          <cell r="B126">
            <v>336000</v>
          </cell>
        </row>
      </sheetData>
      <sheetData sheetId="4" refreshError="1"/>
      <sheetData sheetId="5" refreshError="1">
        <row r="5">
          <cell r="B5">
            <v>2002</v>
          </cell>
          <cell r="C5">
            <v>2003</v>
          </cell>
          <cell r="D5">
            <v>2004</v>
          </cell>
          <cell r="E5">
            <v>2005</v>
          </cell>
          <cell r="F5">
            <v>2006</v>
          </cell>
          <cell r="G5">
            <v>2007</v>
          </cell>
          <cell r="H5">
            <v>2008</v>
          </cell>
          <cell r="I5">
            <v>2009</v>
          </cell>
          <cell r="J5">
            <v>2010</v>
          </cell>
          <cell r="K5">
            <v>2011</v>
          </cell>
        </row>
        <row r="6">
          <cell r="A6" t="str">
            <v>1.0 Project Development</v>
          </cell>
        </row>
        <row r="7">
          <cell r="A7" t="str">
            <v xml:space="preserve">     1.1 Project Planning and Management</v>
          </cell>
        </row>
        <row r="8">
          <cell r="A8" t="str">
            <v xml:space="preserve">          1.1.1 Government Labor</v>
          </cell>
        </row>
        <row r="9">
          <cell r="A9" t="str">
            <v xml:space="preserve">          1.1.2 Contractor Labor</v>
          </cell>
        </row>
        <row r="10">
          <cell r="A10" t="str">
            <v xml:space="preserve">          1.1.3 Miscellaneous Costs</v>
          </cell>
        </row>
        <row r="11">
          <cell r="A11" t="str">
            <v xml:space="preserve">     1.2 Requirements Definition</v>
          </cell>
        </row>
        <row r="12">
          <cell r="A12" t="str">
            <v xml:space="preserve">          1.2.1 Government Labor</v>
          </cell>
        </row>
        <row r="13">
          <cell r="A13" t="str">
            <v xml:space="preserve">          1.2.2 Contractor Labor</v>
          </cell>
        </row>
        <row r="14">
          <cell r="A14" t="str">
            <v xml:space="preserve">          1.2.3 Miscellaneous Costs</v>
          </cell>
        </row>
        <row r="15">
          <cell r="A15" t="str">
            <v xml:space="preserve">     1.3 Product Selection</v>
          </cell>
        </row>
        <row r="16">
          <cell r="A16" t="str">
            <v xml:space="preserve">          1.3.1 Government Labor</v>
          </cell>
        </row>
        <row r="17">
          <cell r="A17" t="str">
            <v xml:space="preserve">          1.3.2 Contractor Labor</v>
          </cell>
        </row>
        <row r="18">
          <cell r="A18" t="str">
            <v xml:space="preserve">          1.3.3 Miscellaneous Costs</v>
          </cell>
        </row>
        <row r="19">
          <cell r="A19" t="str">
            <v xml:space="preserve">     1.4 Concept Design and Prototype</v>
          </cell>
        </row>
        <row r="20">
          <cell r="A20" t="str">
            <v xml:space="preserve">          1.4.1 Government Labor</v>
          </cell>
        </row>
        <row r="21">
          <cell r="A21" t="str">
            <v xml:space="preserve">          1.4.2 Contractor Labor</v>
          </cell>
        </row>
        <row r="22">
          <cell r="A22" t="str">
            <v xml:space="preserve">          1.4.3 Miscellaneous Costs</v>
          </cell>
        </row>
        <row r="23">
          <cell r="A23" t="str">
            <v xml:space="preserve">     1.5 Test and Evaluation</v>
          </cell>
        </row>
        <row r="24">
          <cell r="A24" t="str">
            <v xml:space="preserve">          1.5.1 Government Labor</v>
          </cell>
        </row>
        <row r="25">
          <cell r="A25" t="str">
            <v xml:space="preserve">          1.5.2 Contractor Labor</v>
          </cell>
        </row>
        <row r="26">
          <cell r="A26" t="str">
            <v xml:space="preserve">          1.5.3 Miscellaneous Costs</v>
          </cell>
        </row>
        <row r="27">
          <cell r="A27" t="str">
            <v xml:space="preserve">     1.6 Documentation</v>
          </cell>
        </row>
        <row r="28">
          <cell r="A28" t="str">
            <v xml:space="preserve">          1.6.1 Government Labor</v>
          </cell>
        </row>
        <row r="29">
          <cell r="A29" t="str">
            <v xml:space="preserve">          1.6.2 Contractor Labor</v>
          </cell>
        </row>
        <row r="30">
          <cell r="A30" t="str">
            <v xml:space="preserve">          1.6.3 Miscellaneous Costs</v>
          </cell>
        </row>
        <row r="31">
          <cell r="A31" t="str">
            <v xml:space="preserve">     1.7 Equipment &amp; Software</v>
          </cell>
        </row>
        <row r="32">
          <cell r="A32" t="str">
            <v xml:space="preserve">     1.8 Infrastructure Enhancements</v>
          </cell>
        </row>
        <row r="33">
          <cell r="A33" t="str">
            <v>2.0 Implementation</v>
          </cell>
        </row>
        <row r="34">
          <cell r="A34" t="str">
            <v xml:space="preserve">     2.1 Project Planning and Management</v>
          </cell>
        </row>
        <row r="35">
          <cell r="A35" t="str">
            <v xml:space="preserve">          2.1.1 Government Labor</v>
          </cell>
        </row>
        <row r="36">
          <cell r="A36" t="str">
            <v xml:space="preserve">          2.1.2 Contractor Labor</v>
          </cell>
        </row>
        <row r="37">
          <cell r="A37" t="str">
            <v xml:space="preserve">          2.1.3 Miscellaneous Costs</v>
          </cell>
        </row>
        <row r="38">
          <cell r="A38" t="str">
            <v xml:space="preserve">     2.2 Process Redesign</v>
          </cell>
        </row>
        <row r="39">
          <cell r="A39" t="str">
            <v xml:space="preserve">          2.2.1 Government Labor</v>
          </cell>
        </row>
        <row r="40">
          <cell r="A40" t="str">
            <v xml:space="preserve">          2.2.2 Contractor Labor</v>
          </cell>
        </row>
        <row r="41">
          <cell r="A41" t="str">
            <v xml:space="preserve">          2.2.3 Miscellaneous Costs</v>
          </cell>
        </row>
        <row r="42">
          <cell r="A42" t="str">
            <v xml:space="preserve">     2.3 Implementation</v>
          </cell>
        </row>
        <row r="43">
          <cell r="A43" t="str">
            <v xml:space="preserve">          2.3.1 Government Labor</v>
          </cell>
        </row>
        <row r="44">
          <cell r="A44" t="str">
            <v xml:space="preserve">          2.3.2 Contractor Labor</v>
          </cell>
        </row>
        <row r="45">
          <cell r="A45" t="str">
            <v xml:space="preserve">          2.3.3 Miscellaneous Costs</v>
          </cell>
        </row>
        <row r="46">
          <cell r="A46" t="str">
            <v xml:space="preserve">     2.4 Data Conversion/Documentation</v>
          </cell>
        </row>
        <row r="47">
          <cell r="A47" t="str">
            <v xml:space="preserve">          2.4.1 Government Labor</v>
          </cell>
        </row>
        <row r="48">
          <cell r="A48" t="str">
            <v xml:space="preserve">          2.4.2 Contractor Labor</v>
          </cell>
        </row>
        <row r="49">
          <cell r="A49" t="str">
            <v xml:space="preserve">          2.4.3 Miscellaneous Costs</v>
          </cell>
        </row>
        <row r="50">
          <cell r="A50" t="str">
            <v xml:space="preserve">     2.5 Test and Evaluation</v>
          </cell>
        </row>
        <row r="51">
          <cell r="A51" t="str">
            <v xml:space="preserve">          2.5.1 Government Labor</v>
          </cell>
        </row>
        <row r="52">
          <cell r="A52" t="str">
            <v xml:space="preserve">          2.5.2 Contractor Labor</v>
          </cell>
        </row>
        <row r="53">
          <cell r="A53" t="str">
            <v xml:space="preserve">          2.5.3 Miscellaneous Costs</v>
          </cell>
        </row>
        <row r="54">
          <cell r="A54" t="str">
            <v xml:space="preserve">     2.6 Miscellaneous Transition</v>
          </cell>
        </row>
        <row r="55">
          <cell r="A55" t="str">
            <v xml:space="preserve">          2.6.1 Government Labor</v>
          </cell>
        </row>
        <row r="56">
          <cell r="A56" t="str">
            <v xml:space="preserve">          2.6.2 Contractor Labor</v>
          </cell>
        </row>
        <row r="57">
          <cell r="A57" t="str">
            <v xml:space="preserve">          2.6.3 Miscellaneous Costs</v>
          </cell>
        </row>
        <row r="58">
          <cell r="A58" t="str">
            <v xml:space="preserve">     2.7 Training</v>
          </cell>
        </row>
        <row r="59">
          <cell r="A59" t="str">
            <v xml:space="preserve">          2.7.1 Government Labor</v>
          </cell>
        </row>
        <row r="60">
          <cell r="A60" t="str">
            <v xml:space="preserve">          2.7.2 Contractor Labor</v>
          </cell>
        </row>
        <row r="61">
          <cell r="A61" t="str">
            <v xml:space="preserve">          2.7.3 Miscellaneous Costs</v>
          </cell>
        </row>
        <row r="62">
          <cell r="A62" t="str">
            <v xml:space="preserve">     2.8 Procurement</v>
          </cell>
        </row>
        <row r="63">
          <cell r="A63" t="str">
            <v xml:space="preserve">          2.8.1 Equipment and Software</v>
          </cell>
        </row>
        <row r="64">
          <cell r="A64" t="str">
            <v>3.0 Operations and Maintenance</v>
          </cell>
        </row>
        <row r="65">
          <cell r="A65" t="str">
            <v xml:space="preserve">     3.1 Program Management</v>
          </cell>
        </row>
        <row r="66">
          <cell r="A66" t="str">
            <v xml:space="preserve">          3.1.1 Government Labor</v>
          </cell>
        </row>
        <row r="67">
          <cell r="A67" t="str">
            <v xml:space="preserve">          3.1.2 Contractor Labor</v>
          </cell>
        </row>
        <row r="68">
          <cell r="A68" t="str">
            <v xml:space="preserve">          3.1.3 Miscellaneous Costs</v>
          </cell>
        </row>
        <row r="69">
          <cell r="A69" t="str">
            <v xml:space="preserve">     3.2 Operations</v>
          </cell>
        </row>
        <row r="70">
          <cell r="A70" t="str">
            <v xml:space="preserve">          3.2.1 Government Labor</v>
          </cell>
        </row>
        <row r="71">
          <cell r="A71" t="str">
            <v xml:space="preserve">          3.2.2 Contractor Labor</v>
          </cell>
        </row>
        <row r="72">
          <cell r="A72" t="str">
            <v xml:space="preserve">          3.2.3 Miscellaneous Costs</v>
          </cell>
        </row>
        <row r="73">
          <cell r="A73" t="str">
            <v xml:space="preserve">     3.3 Security</v>
          </cell>
        </row>
        <row r="74">
          <cell r="A74" t="str">
            <v xml:space="preserve">          3.3.1 Government Labor</v>
          </cell>
        </row>
        <row r="75">
          <cell r="A75" t="str">
            <v xml:space="preserve">          3.3.2 Contractor Labor</v>
          </cell>
        </row>
        <row r="76">
          <cell r="A76" t="str">
            <v xml:space="preserve">          3.3.3 Miscellaneous Costs</v>
          </cell>
        </row>
        <row r="77">
          <cell r="A77" t="str">
            <v xml:space="preserve">     3.4 Recurring Training</v>
          </cell>
        </row>
        <row r="78">
          <cell r="A78" t="str">
            <v xml:space="preserve">          3.4.1 Government Labor</v>
          </cell>
        </row>
        <row r="79">
          <cell r="A79" t="str">
            <v xml:space="preserve">          3.4.2 Contractor Labor</v>
          </cell>
        </row>
        <row r="80">
          <cell r="A80" t="str">
            <v xml:space="preserve">          3.4.3 Miscellaneous Costs</v>
          </cell>
        </row>
        <row r="81">
          <cell r="A81" t="str">
            <v xml:space="preserve">     3.5 Equipment Maintenance &amp; Upgrades</v>
          </cell>
        </row>
        <row r="82">
          <cell r="A82" t="str">
            <v xml:space="preserve">          3.5.1 Maintenance Labor</v>
          </cell>
        </row>
        <row r="83">
          <cell r="A83" t="str">
            <v xml:space="preserve">          3.5.2 Equipment Upgrade</v>
          </cell>
        </row>
        <row r="84">
          <cell r="A84" t="str">
            <v xml:space="preserve">     3.6 Software Maintenance &amp; Upgrades</v>
          </cell>
        </row>
        <row r="85">
          <cell r="A85" t="str">
            <v xml:space="preserve">          3.6.1 Government Labor</v>
          </cell>
        </row>
        <row r="86">
          <cell r="A86" t="str">
            <v xml:space="preserve">          3.6.2 Contractor Labor</v>
          </cell>
        </row>
        <row r="87">
          <cell r="A87" t="str">
            <v xml:space="preserve">          3.6.3 Miscellaneous Costs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>
        <row r="6">
          <cell r="A6" t="str">
            <v>Reduced Remands</v>
          </cell>
        </row>
        <row r="7">
          <cell r="A7" t="str">
            <v>CCL Phase-out</v>
          </cell>
        </row>
        <row r="8">
          <cell r="A8" t="str">
            <v>Mega-Site Labor Efficiencies</v>
          </cell>
        </row>
        <row r="9">
          <cell r="A9" t="str">
            <v>Hearing Office Labor Efficiencies</v>
          </cell>
        </row>
        <row r="10">
          <cell r="A10" t="str">
            <v>Analog Recorder Maintenance Savings</v>
          </cell>
        </row>
        <row r="11">
          <cell r="A11" t="str">
            <v>Cassette Purchase Savings</v>
          </cell>
        </row>
        <row r="12">
          <cell r="A12" t="str">
            <v>X</v>
          </cell>
        </row>
        <row r="13">
          <cell r="A13" t="str">
            <v>X</v>
          </cell>
        </row>
        <row r="14">
          <cell r="A14" t="str">
            <v>X</v>
          </cell>
        </row>
        <row r="15">
          <cell r="A15" t="str">
            <v>X</v>
          </cell>
        </row>
        <row r="16">
          <cell r="A16" t="str">
            <v>X</v>
          </cell>
        </row>
        <row r="17">
          <cell r="A17" t="str">
            <v>X</v>
          </cell>
        </row>
        <row r="18">
          <cell r="A18" t="str">
            <v>X</v>
          </cell>
        </row>
        <row r="19">
          <cell r="A19" t="str">
            <v>X</v>
          </cell>
        </row>
        <row r="20">
          <cell r="A20" t="str">
            <v>X</v>
          </cell>
        </row>
        <row r="21">
          <cell r="A21" t="str">
            <v>X</v>
          </cell>
        </row>
        <row r="22">
          <cell r="A22" t="str">
            <v>X</v>
          </cell>
        </row>
        <row r="23">
          <cell r="A23" t="str">
            <v>X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C2">
            <v>5.3999999999999999E-2</v>
          </cell>
        </row>
        <row r="3">
          <cell r="C3">
            <v>2002</v>
          </cell>
        </row>
        <row r="5">
          <cell r="C5" t="str">
            <v>Discount Factor</v>
          </cell>
        </row>
        <row r="6">
          <cell r="A6">
            <v>2002</v>
          </cell>
          <cell r="B6">
            <v>0</v>
          </cell>
          <cell r="C6">
            <v>1</v>
          </cell>
        </row>
        <row r="7">
          <cell r="A7">
            <v>2003</v>
          </cell>
          <cell r="B7">
            <v>1</v>
          </cell>
          <cell r="C7">
            <v>0.94876660341555974</v>
          </cell>
        </row>
        <row r="8">
          <cell r="A8">
            <v>2004</v>
          </cell>
          <cell r="B8">
            <v>2</v>
          </cell>
          <cell r="C8">
            <v>0.90015806775669804</v>
          </cell>
        </row>
        <row r="9">
          <cell r="A9">
            <v>2005</v>
          </cell>
          <cell r="B9">
            <v>3</v>
          </cell>
          <cell r="C9">
            <v>0.85403991248263567</v>
          </cell>
        </row>
        <row r="10">
          <cell r="A10">
            <v>2006</v>
          </cell>
          <cell r="B10">
            <v>4</v>
          </cell>
          <cell r="C10">
            <v>0.81028454694747221</v>
          </cell>
        </row>
        <row r="11">
          <cell r="A11">
            <v>2007</v>
          </cell>
          <cell r="B11">
            <v>5</v>
          </cell>
          <cell r="C11">
            <v>0.76877091740746872</v>
          </cell>
        </row>
        <row r="12">
          <cell r="A12">
            <v>2008</v>
          </cell>
          <cell r="B12">
            <v>6</v>
          </cell>
          <cell r="C12">
            <v>0.72938417211334805</v>
          </cell>
        </row>
        <row r="13">
          <cell r="A13">
            <v>2009</v>
          </cell>
          <cell r="B13">
            <v>7</v>
          </cell>
          <cell r="C13">
            <v>0.69201534356105121</v>
          </cell>
        </row>
        <row r="14">
          <cell r="A14">
            <v>2010</v>
          </cell>
          <cell r="B14">
            <v>8</v>
          </cell>
          <cell r="C14">
            <v>0.65656104702187024</v>
          </cell>
        </row>
        <row r="15">
          <cell r="A15">
            <v>2011</v>
          </cell>
          <cell r="B15">
            <v>9</v>
          </cell>
          <cell r="C15">
            <v>0.62292319451790334</v>
          </cell>
        </row>
        <row r="16">
          <cell r="A16">
            <v>2012</v>
          </cell>
          <cell r="B16">
            <v>10</v>
          </cell>
          <cell r="C16">
            <v>0.59100872345152133</v>
          </cell>
        </row>
        <row r="17">
          <cell r="A17">
            <v>2013</v>
          </cell>
          <cell r="B17">
            <v>11</v>
          </cell>
          <cell r="C17">
            <v>0.56072933913806577</v>
          </cell>
        </row>
      </sheetData>
      <sheetData sheetId="16" refreshError="1">
        <row r="5">
          <cell r="A5">
            <v>1</v>
          </cell>
          <cell r="B5">
            <v>18165</v>
          </cell>
          <cell r="C5">
            <v>5967.2025000000003</v>
          </cell>
          <cell r="D5">
            <v>2895.8642999999997</v>
          </cell>
          <cell r="E5">
            <v>27028.066800000001</v>
          </cell>
          <cell r="F5">
            <v>2252.3389000000002</v>
          </cell>
          <cell r="G5">
            <v>12.994262884615384</v>
          </cell>
          <cell r="H5">
            <v>0.21657104807692307</v>
          </cell>
        </row>
        <row r="6">
          <cell r="A6">
            <v>2</v>
          </cell>
          <cell r="B6">
            <v>19774</v>
          </cell>
          <cell r="C6">
            <v>6495.759</v>
          </cell>
          <cell r="D6">
            <v>3152.3710799999999</v>
          </cell>
          <cell r="E6">
            <v>29422.130079999999</v>
          </cell>
          <cell r="F6">
            <v>2451.8441733333334</v>
          </cell>
          <cell r="G6">
            <v>14.145254846153845</v>
          </cell>
          <cell r="H6">
            <v>0.23575424743589743</v>
          </cell>
        </row>
        <row r="7">
          <cell r="A7">
            <v>3</v>
          </cell>
          <cell r="B7">
            <v>22287</v>
          </cell>
          <cell r="C7">
            <v>7321.2795000000006</v>
          </cell>
          <cell r="D7">
            <v>3552.9935399999999</v>
          </cell>
          <cell r="E7">
            <v>33161.27304</v>
          </cell>
          <cell r="F7">
            <v>2763.4394200000002</v>
          </cell>
          <cell r="G7">
            <v>15.942919730769232</v>
          </cell>
          <cell r="H7">
            <v>0.26571532884615384</v>
          </cell>
        </row>
        <row r="8">
          <cell r="A8">
            <v>4</v>
          </cell>
          <cell r="B8">
            <v>25020</v>
          </cell>
          <cell r="C8">
            <v>8219.07</v>
          </cell>
          <cell r="D8">
            <v>3988.6884</v>
          </cell>
          <cell r="E8">
            <v>37227.758399999999</v>
          </cell>
          <cell r="F8">
            <v>3102.3132000000001</v>
          </cell>
          <cell r="G8">
            <v>17.897960769230767</v>
          </cell>
          <cell r="H8">
            <v>0.29829934615384612</v>
          </cell>
        </row>
        <row r="9">
          <cell r="A9">
            <v>5</v>
          </cell>
          <cell r="B9">
            <v>27995</v>
          </cell>
          <cell r="C9">
            <v>9196.3575000000001</v>
          </cell>
          <cell r="D9">
            <v>4462.9628999999995</v>
          </cell>
          <cell r="E9">
            <v>41654.320399999997</v>
          </cell>
          <cell r="F9">
            <v>3471.1933666666664</v>
          </cell>
          <cell r="G9">
            <v>20.026115576923075</v>
          </cell>
          <cell r="H9">
            <v>0.33376859294871791</v>
          </cell>
        </row>
        <row r="10">
          <cell r="A10">
            <v>6</v>
          </cell>
          <cell r="B10">
            <v>31206</v>
          </cell>
          <cell r="C10">
            <v>10251.171</v>
          </cell>
          <cell r="D10">
            <v>4974.8605200000002</v>
          </cell>
          <cell r="E10">
            <v>46432.031520000004</v>
          </cell>
          <cell r="F10">
            <v>3869.3359600000003</v>
          </cell>
          <cell r="G10">
            <v>22.323092076923079</v>
          </cell>
          <cell r="H10">
            <v>0.37205153461538465</v>
          </cell>
        </row>
        <row r="11">
          <cell r="A11">
            <v>7</v>
          </cell>
          <cell r="B11">
            <v>34678</v>
          </cell>
          <cell r="C11">
            <v>11391.723</v>
          </cell>
          <cell r="D11">
            <v>5528.3667599999999</v>
          </cell>
          <cell r="E11">
            <v>51598.089760000003</v>
          </cell>
          <cell r="F11">
            <v>4299.8408133333332</v>
          </cell>
          <cell r="G11">
            <v>24.806773923076925</v>
          </cell>
          <cell r="H11">
            <v>0.41344623205128206</v>
          </cell>
        </row>
        <row r="12">
          <cell r="A12">
            <v>8</v>
          </cell>
          <cell r="B12">
            <v>38405</v>
          </cell>
          <cell r="C12">
            <v>12616.042500000001</v>
          </cell>
          <cell r="D12">
            <v>6122.5250999999998</v>
          </cell>
          <cell r="E12">
            <v>57143.567600000002</v>
          </cell>
          <cell r="F12">
            <v>4761.9639666666671</v>
          </cell>
          <cell r="G12">
            <v>27.472869038461539</v>
          </cell>
          <cell r="H12">
            <v>0.45788115064102564</v>
          </cell>
        </row>
        <row r="13">
          <cell r="A13">
            <v>9</v>
          </cell>
          <cell r="B13">
            <v>42416</v>
          </cell>
          <cell r="C13">
            <v>13933.656000000001</v>
          </cell>
          <cell r="D13">
            <v>6761.9587199999996</v>
          </cell>
          <cell r="E13">
            <v>63111.614719999998</v>
          </cell>
          <cell r="F13">
            <v>5259.3012266666665</v>
          </cell>
          <cell r="G13">
            <v>30.342122461538459</v>
          </cell>
          <cell r="H13">
            <v>0.50570204102564098</v>
          </cell>
        </row>
        <row r="14">
          <cell r="A14">
            <v>10</v>
          </cell>
          <cell r="B14">
            <v>46714</v>
          </cell>
          <cell r="C14">
            <v>15345.549000000001</v>
          </cell>
          <cell r="D14">
            <v>7447.14588</v>
          </cell>
          <cell r="E14">
            <v>69506.694879999995</v>
          </cell>
          <cell r="F14">
            <v>5792.224573333333</v>
          </cell>
          <cell r="G14">
            <v>33.416680230769231</v>
          </cell>
          <cell r="H14">
            <v>0.55694467051282048</v>
          </cell>
        </row>
        <row r="15">
          <cell r="A15">
            <v>11</v>
          </cell>
          <cell r="B15">
            <v>51322</v>
          </cell>
          <cell r="C15">
            <v>16859.277000000002</v>
          </cell>
          <cell r="D15">
            <v>8181.75324</v>
          </cell>
          <cell r="E15">
            <v>76363.030239999993</v>
          </cell>
          <cell r="F15">
            <v>6363.585853333333</v>
          </cell>
          <cell r="G15">
            <v>36.712995307692303</v>
          </cell>
          <cell r="H15">
            <v>0.61188325512820507</v>
          </cell>
        </row>
        <row r="16">
          <cell r="A16">
            <v>12</v>
          </cell>
          <cell r="B16">
            <v>61511</v>
          </cell>
          <cell r="C16">
            <v>20206.363499999999</v>
          </cell>
          <cell r="D16">
            <v>9806.0836200000012</v>
          </cell>
          <cell r="E16">
            <v>91523.447119999997</v>
          </cell>
          <cell r="F16">
            <v>7626.9539266666661</v>
          </cell>
          <cell r="G16">
            <v>44.001657269230769</v>
          </cell>
          <cell r="H16">
            <v>0.73336095448717953</v>
          </cell>
        </row>
        <row r="17">
          <cell r="A17">
            <v>13</v>
          </cell>
          <cell r="B17">
            <v>73146</v>
          </cell>
          <cell r="C17">
            <v>24028.460999999999</v>
          </cell>
          <cell r="D17">
            <v>11660.935319999999</v>
          </cell>
          <cell r="E17">
            <v>108835.39632</v>
          </cell>
          <cell r="F17">
            <v>9069.61636</v>
          </cell>
          <cell r="G17">
            <v>52.324709769230772</v>
          </cell>
          <cell r="H17">
            <v>0.87207849615384625</v>
          </cell>
        </row>
        <row r="18">
          <cell r="A18">
            <v>14</v>
          </cell>
          <cell r="B18">
            <v>86439</v>
          </cell>
          <cell r="C18">
            <v>28395.211500000001</v>
          </cell>
          <cell r="D18">
            <v>13780.105380000001</v>
          </cell>
          <cell r="E18">
            <v>128614.31688</v>
          </cell>
          <cell r="F18">
            <v>10717.85974</v>
          </cell>
          <cell r="G18">
            <v>61.833806192307691</v>
          </cell>
          <cell r="H18">
            <v>1.0305634365384615</v>
          </cell>
        </row>
        <row r="19">
          <cell r="A19">
            <v>15</v>
          </cell>
          <cell r="B19">
            <v>101678</v>
          </cell>
          <cell r="C19">
            <v>33401.222999999998</v>
          </cell>
          <cell r="D19">
            <v>16209.506759999998</v>
          </cell>
          <cell r="E19">
            <v>151288.72975999999</v>
          </cell>
          <cell r="F19">
            <v>12607.394146666666</v>
          </cell>
          <cell r="G19">
            <v>72.734966230769231</v>
          </cell>
          <cell r="H19">
            <v>1.2122494371794872</v>
          </cell>
        </row>
        <row r="25">
          <cell r="A25">
            <v>1</v>
          </cell>
          <cell r="B25">
            <v>16032</v>
          </cell>
          <cell r="C25">
            <v>0</v>
          </cell>
          <cell r="D25">
            <v>1923.84</v>
          </cell>
          <cell r="E25">
            <v>17955.84</v>
          </cell>
          <cell r="F25">
            <v>1496.32</v>
          </cell>
          <cell r="G25">
            <v>8.6326153846153844</v>
          </cell>
          <cell r="H25">
            <v>0.14387692307692307</v>
          </cell>
        </row>
        <row r="26">
          <cell r="A26">
            <v>2</v>
          </cell>
          <cell r="B26">
            <v>18026</v>
          </cell>
          <cell r="C26">
            <v>0</v>
          </cell>
          <cell r="D26">
            <v>2163.12</v>
          </cell>
          <cell r="E26">
            <v>20189.12</v>
          </cell>
          <cell r="F26">
            <v>1682.4266666666665</v>
          </cell>
          <cell r="G26">
            <v>9.706307692307691</v>
          </cell>
          <cell r="H26">
            <v>0.16177179487179486</v>
          </cell>
        </row>
        <row r="27">
          <cell r="A27">
            <v>3</v>
          </cell>
          <cell r="B27">
            <v>19667</v>
          </cell>
          <cell r="C27">
            <v>0</v>
          </cell>
          <cell r="D27">
            <v>2360.04</v>
          </cell>
          <cell r="E27">
            <v>22027.040000000001</v>
          </cell>
          <cell r="F27">
            <v>1835.5866666666668</v>
          </cell>
          <cell r="G27">
            <v>10.589923076923077</v>
          </cell>
          <cell r="H27">
            <v>0.17649871794871794</v>
          </cell>
        </row>
        <row r="28">
          <cell r="A28">
            <v>4</v>
          </cell>
          <cell r="B28">
            <v>22078</v>
          </cell>
          <cell r="C28">
            <v>0</v>
          </cell>
          <cell r="D28">
            <v>2649.36</v>
          </cell>
          <cell r="E28">
            <v>24727.360000000001</v>
          </cell>
          <cell r="F28">
            <v>2060.6133333333332</v>
          </cell>
          <cell r="G28">
            <v>11.888153846153847</v>
          </cell>
          <cell r="H28">
            <v>0.19813589743589743</v>
          </cell>
        </row>
        <row r="29">
          <cell r="A29">
            <v>5</v>
          </cell>
          <cell r="B29">
            <v>24701</v>
          </cell>
          <cell r="C29">
            <v>0</v>
          </cell>
          <cell r="D29">
            <v>2964.12</v>
          </cell>
          <cell r="E29">
            <v>27665.119999999999</v>
          </cell>
          <cell r="F29">
            <v>2305.4266666666667</v>
          </cell>
          <cell r="G29">
            <v>13.30053846153846</v>
          </cell>
          <cell r="H29">
            <v>0.221675641025641</v>
          </cell>
        </row>
        <row r="30">
          <cell r="A30">
            <v>6</v>
          </cell>
          <cell r="B30">
            <v>27534</v>
          </cell>
          <cell r="C30">
            <v>0</v>
          </cell>
          <cell r="D30">
            <v>3304.08</v>
          </cell>
          <cell r="E30">
            <v>30838.080000000002</v>
          </cell>
          <cell r="F30">
            <v>2569.84</v>
          </cell>
          <cell r="G30">
            <v>14.826000000000001</v>
          </cell>
          <cell r="H30">
            <v>0.24710000000000001</v>
          </cell>
        </row>
        <row r="31">
          <cell r="A31">
            <v>7</v>
          </cell>
          <cell r="B31">
            <v>30597</v>
          </cell>
          <cell r="C31">
            <v>0</v>
          </cell>
          <cell r="D31">
            <v>3671.64</v>
          </cell>
          <cell r="E31">
            <v>34268.639999999999</v>
          </cell>
          <cell r="F31">
            <v>2855.72</v>
          </cell>
          <cell r="G31">
            <v>16.475307692307691</v>
          </cell>
          <cell r="H31">
            <v>0.2745884615384615</v>
          </cell>
        </row>
        <row r="32">
          <cell r="A32">
            <v>8</v>
          </cell>
          <cell r="B32">
            <v>33886</v>
          </cell>
          <cell r="C32">
            <v>0</v>
          </cell>
          <cell r="D32">
            <v>4066.3199999999997</v>
          </cell>
          <cell r="E32">
            <v>37952.32</v>
          </cell>
          <cell r="F32">
            <v>3162.6933333333332</v>
          </cell>
          <cell r="G32">
            <v>18.246307692307692</v>
          </cell>
          <cell r="H32">
            <v>0.30410512820512819</v>
          </cell>
        </row>
        <row r="33">
          <cell r="A33">
            <v>9</v>
          </cell>
          <cell r="B33">
            <v>37428</v>
          </cell>
          <cell r="C33">
            <v>0</v>
          </cell>
          <cell r="D33">
            <v>4491.3599999999997</v>
          </cell>
          <cell r="E33">
            <v>41919.360000000001</v>
          </cell>
          <cell r="F33">
            <v>3493.28</v>
          </cell>
          <cell r="G33">
            <v>20.15353846153846</v>
          </cell>
          <cell r="H33">
            <v>0.33589230769230766</v>
          </cell>
        </row>
        <row r="34">
          <cell r="A34">
            <v>10</v>
          </cell>
          <cell r="B34">
            <v>41217</v>
          </cell>
          <cell r="C34">
            <v>0</v>
          </cell>
          <cell r="D34">
            <v>4946.04</v>
          </cell>
          <cell r="E34">
            <v>46163.040000000001</v>
          </cell>
          <cell r="F34">
            <v>3846.92</v>
          </cell>
          <cell r="G34">
            <v>22.193769230769231</v>
          </cell>
          <cell r="H34">
            <v>0.36989615384615387</v>
          </cell>
        </row>
        <row r="35">
          <cell r="A35">
            <v>11</v>
          </cell>
          <cell r="B35">
            <v>45285</v>
          </cell>
          <cell r="C35">
            <v>0</v>
          </cell>
          <cell r="D35">
            <v>5434.2</v>
          </cell>
          <cell r="E35">
            <v>50719.199999999997</v>
          </cell>
          <cell r="F35">
            <v>4226.5999999999995</v>
          </cell>
          <cell r="G35">
            <v>24.384230769230768</v>
          </cell>
          <cell r="H35">
            <v>0.40640384615384612</v>
          </cell>
        </row>
        <row r="36">
          <cell r="A36">
            <v>12</v>
          </cell>
          <cell r="B36">
            <v>54275</v>
          </cell>
          <cell r="C36">
            <v>0</v>
          </cell>
          <cell r="D36">
            <v>6513</v>
          </cell>
          <cell r="E36">
            <v>60788</v>
          </cell>
          <cell r="F36">
            <v>5065.666666666667</v>
          </cell>
          <cell r="G36">
            <v>29.225000000000001</v>
          </cell>
          <cell r="H36">
            <v>0.48708333333333337</v>
          </cell>
        </row>
        <row r="37">
          <cell r="A37">
            <v>13</v>
          </cell>
          <cell r="B37">
            <v>64542</v>
          </cell>
          <cell r="C37">
            <v>0</v>
          </cell>
          <cell r="D37">
            <v>7745.04</v>
          </cell>
          <cell r="E37">
            <v>72287.039999999994</v>
          </cell>
          <cell r="F37">
            <v>6023.9199999999992</v>
          </cell>
          <cell r="G37">
            <v>34.753384615384611</v>
          </cell>
          <cell r="H37">
            <v>0.57922307692307684</v>
          </cell>
        </row>
        <row r="38">
          <cell r="A38">
            <v>14</v>
          </cell>
          <cell r="B38">
            <v>76271</v>
          </cell>
          <cell r="C38">
            <v>0</v>
          </cell>
          <cell r="D38">
            <v>9152.52</v>
          </cell>
          <cell r="E38">
            <v>85423.52</v>
          </cell>
          <cell r="F38">
            <v>7118.626666666667</v>
          </cell>
          <cell r="G38">
            <v>41.069000000000003</v>
          </cell>
          <cell r="H38">
            <v>0.68448333333333333</v>
          </cell>
        </row>
        <row r="39">
          <cell r="A39">
            <v>15</v>
          </cell>
          <cell r="B39">
            <v>89715</v>
          </cell>
          <cell r="C39">
            <v>0</v>
          </cell>
          <cell r="D39">
            <v>10765.8</v>
          </cell>
          <cell r="E39">
            <v>100480.8</v>
          </cell>
          <cell r="F39">
            <v>8373.4</v>
          </cell>
          <cell r="G39">
            <v>48.308076923076925</v>
          </cell>
          <cell r="H39">
            <v>0.80513461538461539</v>
          </cell>
        </row>
        <row r="46">
          <cell r="A46">
            <v>1</v>
          </cell>
          <cell r="B46">
            <v>18639</v>
          </cell>
          <cell r="C46">
            <v>6122.9115000000002</v>
          </cell>
          <cell r="D46">
            <v>2971.42938</v>
          </cell>
          <cell r="E46">
            <v>27733.34088</v>
          </cell>
          <cell r="F46">
            <v>2311.1117399999998</v>
          </cell>
          <cell r="G46">
            <v>13.333336961538462</v>
          </cell>
          <cell r="H46">
            <v>0.2222222826923077</v>
          </cell>
        </row>
        <row r="47">
          <cell r="A47">
            <v>2</v>
          </cell>
          <cell r="B47">
            <v>20290</v>
          </cell>
          <cell r="C47">
            <v>6665.2650000000003</v>
          </cell>
          <cell r="D47">
            <v>3234.6317999999997</v>
          </cell>
          <cell r="E47">
            <v>30189.896800000002</v>
          </cell>
          <cell r="F47">
            <v>2515.8247333333334</v>
          </cell>
          <cell r="G47">
            <v>14.514373461538463</v>
          </cell>
          <cell r="H47">
            <v>0.24190622435897438</v>
          </cell>
        </row>
        <row r="48">
          <cell r="A48">
            <v>3</v>
          </cell>
          <cell r="B48">
            <v>22870</v>
          </cell>
          <cell r="C48">
            <v>7512.7950000000001</v>
          </cell>
          <cell r="D48">
            <v>3645.9353999999998</v>
          </cell>
          <cell r="E48">
            <v>34028.7304</v>
          </cell>
          <cell r="F48">
            <v>2835.7275333333332</v>
          </cell>
          <cell r="G48">
            <v>16.359966538461538</v>
          </cell>
          <cell r="H48">
            <v>0.272666108974359</v>
          </cell>
        </row>
        <row r="49">
          <cell r="A49">
            <v>4</v>
          </cell>
          <cell r="B49">
            <v>25674</v>
          </cell>
          <cell r="C49">
            <v>8433.9089999999997</v>
          </cell>
          <cell r="D49">
            <v>4092.9490799999999</v>
          </cell>
          <cell r="E49">
            <v>38200.858079999998</v>
          </cell>
          <cell r="F49">
            <v>3183.4048399999997</v>
          </cell>
          <cell r="G49">
            <v>18.365797153846152</v>
          </cell>
          <cell r="H49">
            <v>0.3060966192307692</v>
          </cell>
        </row>
        <row r="50">
          <cell r="A50">
            <v>5</v>
          </cell>
          <cell r="B50">
            <v>28727</v>
          </cell>
          <cell r="C50">
            <v>9436.8194999999996</v>
          </cell>
          <cell r="D50">
            <v>4579.65834</v>
          </cell>
          <cell r="E50">
            <v>42743.47784</v>
          </cell>
          <cell r="F50">
            <v>3561.9564866666665</v>
          </cell>
          <cell r="G50">
            <v>20.549748961538462</v>
          </cell>
          <cell r="H50">
            <v>0.34249581602564105</v>
          </cell>
        </row>
        <row r="51">
          <cell r="A51">
            <v>6</v>
          </cell>
          <cell r="B51">
            <v>32022</v>
          </cell>
          <cell r="C51">
            <v>10519.227000000001</v>
          </cell>
          <cell r="D51">
            <v>5104.9472399999995</v>
          </cell>
          <cell r="E51">
            <v>47646.17424</v>
          </cell>
          <cell r="F51">
            <v>3970.5145200000002</v>
          </cell>
          <cell r="G51">
            <v>22.906814538461539</v>
          </cell>
          <cell r="H51">
            <v>0.38178024230769231</v>
          </cell>
        </row>
        <row r="52">
          <cell r="A52">
            <v>7</v>
          </cell>
          <cell r="B52">
            <v>35584</v>
          </cell>
          <cell r="C52">
            <v>11689.344000000001</v>
          </cell>
          <cell r="D52">
            <v>5672.8012799999997</v>
          </cell>
          <cell r="E52">
            <v>52946.145279999997</v>
          </cell>
          <cell r="F52">
            <v>4412.1787733333331</v>
          </cell>
          <cell r="G52">
            <v>25.454877538461538</v>
          </cell>
          <cell r="H52">
            <v>0.42424795897435896</v>
          </cell>
        </row>
        <row r="53">
          <cell r="A53">
            <v>8</v>
          </cell>
          <cell r="B53">
            <v>39409</v>
          </cell>
          <cell r="C53">
            <v>12945.8565</v>
          </cell>
          <cell r="D53">
            <v>6282.5827799999997</v>
          </cell>
          <cell r="E53">
            <v>58637.439279999999</v>
          </cell>
          <cell r="F53">
            <v>4886.4532733333335</v>
          </cell>
          <cell r="G53">
            <v>28.191076576923077</v>
          </cell>
          <cell r="H53">
            <v>0.46985127628205131</v>
          </cell>
        </row>
        <row r="54">
          <cell r="A54">
            <v>9</v>
          </cell>
          <cell r="B54">
            <v>43525</v>
          </cell>
          <cell r="C54">
            <v>14297.962500000001</v>
          </cell>
          <cell r="D54">
            <v>6938.7555000000002</v>
          </cell>
          <cell r="E54">
            <v>64761.718000000001</v>
          </cell>
          <cell r="F54">
            <v>5396.8098333333337</v>
          </cell>
          <cell r="G54">
            <v>31.135441346153847</v>
          </cell>
          <cell r="H54">
            <v>0.51892402243589741</v>
          </cell>
        </row>
        <row r="55">
          <cell r="A55">
            <v>10</v>
          </cell>
          <cell r="B55">
            <v>47935</v>
          </cell>
          <cell r="C55">
            <v>15746.647500000001</v>
          </cell>
          <cell r="D55">
            <v>7641.7976999999992</v>
          </cell>
          <cell r="E55">
            <v>71323.445200000002</v>
          </cell>
          <cell r="F55">
            <v>5943.6204333333335</v>
          </cell>
          <cell r="G55">
            <v>34.290117884615384</v>
          </cell>
          <cell r="H55">
            <v>0.57150196474358972</v>
          </cell>
        </row>
        <row r="56">
          <cell r="A56">
            <v>11</v>
          </cell>
          <cell r="B56">
            <v>52663</v>
          </cell>
          <cell r="C56">
            <v>17299.7955</v>
          </cell>
          <cell r="D56">
            <v>8395.535460000001</v>
          </cell>
          <cell r="E56">
            <v>78358.330959999992</v>
          </cell>
          <cell r="F56">
            <v>6529.860913333333</v>
          </cell>
          <cell r="G56">
            <v>37.672274499999993</v>
          </cell>
          <cell r="H56">
            <v>0.62787124166666652</v>
          </cell>
        </row>
        <row r="57">
          <cell r="A57">
            <v>12</v>
          </cell>
          <cell r="B57">
            <v>63119</v>
          </cell>
          <cell r="C57">
            <v>20734.591500000002</v>
          </cell>
          <cell r="D57">
            <v>10062.430980000001</v>
          </cell>
          <cell r="E57">
            <v>93916.02248</v>
          </cell>
          <cell r="F57">
            <v>7826.3352066666666</v>
          </cell>
          <cell r="G57">
            <v>45.151933884615381</v>
          </cell>
          <cell r="H57">
            <v>0.75253223141025638</v>
          </cell>
        </row>
        <row r="58">
          <cell r="A58">
            <v>13</v>
          </cell>
          <cell r="B58">
            <v>75058</v>
          </cell>
          <cell r="C58">
            <v>24656.553</v>
          </cell>
          <cell r="D58">
            <v>11965.746359999999</v>
          </cell>
          <cell r="E58">
            <v>111680.29936</v>
          </cell>
          <cell r="F58">
            <v>9306.6916133333343</v>
          </cell>
          <cell r="G58">
            <v>53.69245161538462</v>
          </cell>
          <cell r="H58">
            <v>0.89487419358974363</v>
          </cell>
        </row>
        <row r="59">
          <cell r="A59">
            <v>14</v>
          </cell>
          <cell r="B59">
            <v>88699</v>
          </cell>
          <cell r="C59">
            <v>29137.621500000001</v>
          </cell>
          <cell r="D59">
            <v>14140.39458</v>
          </cell>
          <cell r="E59">
            <v>131977.01608</v>
          </cell>
          <cell r="F59">
            <v>10998.084673333333</v>
          </cell>
          <cell r="G59">
            <v>63.450488499999999</v>
          </cell>
          <cell r="H59">
            <v>1.0575081416666667</v>
          </cell>
        </row>
        <row r="60">
          <cell r="A60">
            <v>15</v>
          </cell>
          <cell r="B60">
            <v>104336</v>
          </cell>
          <cell r="C60">
            <v>34274.376000000004</v>
          </cell>
          <cell r="D60">
            <v>16633.24512</v>
          </cell>
          <cell r="E60">
            <v>155243.62112</v>
          </cell>
          <cell r="F60">
            <v>12936.968426666666</v>
          </cell>
          <cell r="G60">
            <v>74.63635630769231</v>
          </cell>
          <cell r="H60">
            <v>1.2439392717948718</v>
          </cell>
        </row>
        <row r="75">
          <cell r="C75">
            <v>0.32850000000000001</v>
          </cell>
        </row>
        <row r="76">
          <cell r="C76">
            <v>0.24</v>
          </cell>
        </row>
        <row r="77">
          <cell r="C77">
            <v>5.7000000000000002E-2</v>
          </cell>
        </row>
        <row r="78">
          <cell r="C78">
            <v>1.4500000000000001E-2</v>
          </cell>
        </row>
        <row r="79">
          <cell r="C79">
            <v>1.7000000000000001E-2</v>
          </cell>
        </row>
        <row r="81">
          <cell r="C81">
            <v>0.12</v>
          </cell>
        </row>
      </sheetData>
      <sheetData sheetId="17" refreshError="1">
        <row r="81">
          <cell r="A81" t="str">
            <v>Boston</v>
          </cell>
          <cell r="B81">
            <v>0</v>
          </cell>
          <cell r="C81">
            <v>0</v>
          </cell>
          <cell r="D81">
            <v>458640</v>
          </cell>
          <cell r="E81">
            <v>497952</v>
          </cell>
          <cell r="F81">
            <v>511056</v>
          </cell>
          <cell r="G81">
            <v>524160</v>
          </cell>
          <cell r="H81">
            <v>550368</v>
          </cell>
          <cell r="I81">
            <v>576576</v>
          </cell>
          <cell r="J81">
            <v>589680</v>
          </cell>
          <cell r="K81">
            <v>602784</v>
          </cell>
          <cell r="L81">
            <v>628992</v>
          </cell>
          <cell r="M81">
            <v>628992</v>
          </cell>
          <cell r="N81">
            <v>655200</v>
          </cell>
        </row>
        <row r="82">
          <cell r="A82" t="str">
            <v>New York</v>
          </cell>
          <cell r="B82">
            <v>0</v>
          </cell>
          <cell r="C82">
            <v>0</v>
          </cell>
          <cell r="D82">
            <v>982800</v>
          </cell>
          <cell r="E82">
            <v>1067040</v>
          </cell>
          <cell r="F82">
            <v>1095120</v>
          </cell>
          <cell r="G82">
            <v>1123200</v>
          </cell>
          <cell r="H82">
            <v>1179360</v>
          </cell>
          <cell r="I82">
            <v>1235520</v>
          </cell>
          <cell r="J82">
            <v>1263600</v>
          </cell>
          <cell r="K82">
            <v>1291680</v>
          </cell>
          <cell r="L82">
            <v>1347840</v>
          </cell>
          <cell r="M82">
            <v>1347840</v>
          </cell>
          <cell r="N82">
            <v>1404000</v>
          </cell>
        </row>
        <row r="83">
          <cell r="A83" t="str">
            <v>Philadelphia</v>
          </cell>
          <cell r="B83">
            <v>0</v>
          </cell>
          <cell r="C83">
            <v>0</v>
          </cell>
          <cell r="D83">
            <v>982800</v>
          </cell>
          <cell r="E83">
            <v>1067040</v>
          </cell>
          <cell r="F83">
            <v>1095120</v>
          </cell>
          <cell r="G83">
            <v>1123200</v>
          </cell>
          <cell r="H83">
            <v>1179360</v>
          </cell>
          <cell r="I83">
            <v>1235520</v>
          </cell>
          <cell r="J83">
            <v>1263600</v>
          </cell>
          <cell r="K83">
            <v>1291680</v>
          </cell>
          <cell r="L83">
            <v>1347840</v>
          </cell>
          <cell r="M83">
            <v>1347840</v>
          </cell>
          <cell r="N83">
            <v>1404000</v>
          </cell>
        </row>
        <row r="84">
          <cell r="A84" t="str">
            <v>Atlanta</v>
          </cell>
          <cell r="B84">
            <v>0</v>
          </cell>
          <cell r="C84">
            <v>0</v>
          </cell>
          <cell r="D84">
            <v>2031120</v>
          </cell>
          <cell r="E84">
            <v>2205216</v>
          </cell>
          <cell r="F84">
            <v>2263248</v>
          </cell>
          <cell r="G84">
            <v>2321280</v>
          </cell>
          <cell r="H84">
            <v>2437344</v>
          </cell>
          <cell r="I84">
            <v>2553408</v>
          </cell>
          <cell r="J84">
            <v>2611440</v>
          </cell>
          <cell r="K84">
            <v>2669472</v>
          </cell>
          <cell r="L84">
            <v>2785536</v>
          </cell>
          <cell r="M84">
            <v>2785536</v>
          </cell>
          <cell r="N84">
            <v>2901600</v>
          </cell>
        </row>
        <row r="85">
          <cell r="A85" t="str">
            <v>Chicago</v>
          </cell>
          <cell r="B85">
            <v>0</v>
          </cell>
          <cell r="C85">
            <v>0</v>
          </cell>
          <cell r="D85">
            <v>1244880</v>
          </cell>
          <cell r="E85">
            <v>1351584</v>
          </cell>
          <cell r="F85">
            <v>1387152</v>
          </cell>
          <cell r="G85">
            <v>1422720</v>
          </cell>
          <cell r="H85">
            <v>1493856</v>
          </cell>
          <cell r="I85">
            <v>1564992</v>
          </cell>
          <cell r="J85">
            <v>1600560</v>
          </cell>
          <cell r="K85">
            <v>1636128</v>
          </cell>
          <cell r="L85">
            <v>1707264</v>
          </cell>
          <cell r="M85">
            <v>1707264</v>
          </cell>
          <cell r="N85">
            <v>1778400</v>
          </cell>
        </row>
        <row r="86">
          <cell r="A86" t="str">
            <v>Dallas</v>
          </cell>
          <cell r="B86">
            <v>0</v>
          </cell>
          <cell r="C86">
            <v>0</v>
          </cell>
          <cell r="D86">
            <v>1048320</v>
          </cell>
          <cell r="E86">
            <v>1138176</v>
          </cell>
          <cell r="F86">
            <v>1168128</v>
          </cell>
          <cell r="G86">
            <v>1198080</v>
          </cell>
          <cell r="H86">
            <v>1257984</v>
          </cell>
          <cell r="I86">
            <v>1317888</v>
          </cell>
          <cell r="J86">
            <v>1347840</v>
          </cell>
          <cell r="K86">
            <v>1377792</v>
          </cell>
          <cell r="L86">
            <v>1437696</v>
          </cell>
          <cell r="M86">
            <v>1437696</v>
          </cell>
          <cell r="N86">
            <v>1497600</v>
          </cell>
        </row>
        <row r="87">
          <cell r="A87" t="str">
            <v>Kansas City</v>
          </cell>
          <cell r="B87">
            <v>0</v>
          </cell>
          <cell r="C87">
            <v>0</v>
          </cell>
          <cell r="D87">
            <v>458640</v>
          </cell>
          <cell r="E87">
            <v>497952</v>
          </cell>
          <cell r="F87">
            <v>511056</v>
          </cell>
          <cell r="G87">
            <v>524160</v>
          </cell>
          <cell r="H87">
            <v>550368</v>
          </cell>
          <cell r="I87">
            <v>576576</v>
          </cell>
          <cell r="J87">
            <v>589680</v>
          </cell>
          <cell r="K87">
            <v>602784</v>
          </cell>
          <cell r="L87">
            <v>628992</v>
          </cell>
          <cell r="M87">
            <v>628992</v>
          </cell>
          <cell r="N87">
            <v>655200</v>
          </cell>
        </row>
        <row r="88">
          <cell r="A88" t="str">
            <v>Denver</v>
          </cell>
          <cell r="B88">
            <v>0</v>
          </cell>
          <cell r="C88">
            <v>0</v>
          </cell>
          <cell r="D88">
            <v>327600</v>
          </cell>
          <cell r="E88">
            <v>355680</v>
          </cell>
          <cell r="F88">
            <v>365040</v>
          </cell>
          <cell r="G88">
            <v>374400</v>
          </cell>
          <cell r="H88">
            <v>393120</v>
          </cell>
          <cell r="I88">
            <v>411840</v>
          </cell>
          <cell r="J88">
            <v>421200</v>
          </cell>
          <cell r="K88">
            <v>430560</v>
          </cell>
          <cell r="L88">
            <v>449280</v>
          </cell>
          <cell r="M88">
            <v>449280</v>
          </cell>
          <cell r="N88">
            <v>468000</v>
          </cell>
        </row>
        <row r="89">
          <cell r="A89" t="str">
            <v>San Francisco</v>
          </cell>
          <cell r="B89">
            <v>0</v>
          </cell>
          <cell r="C89">
            <v>0</v>
          </cell>
          <cell r="D89">
            <v>1310400</v>
          </cell>
          <cell r="E89">
            <v>1422720</v>
          </cell>
          <cell r="F89">
            <v>1460160</v>
          </cell>
          <cell r="G89">
            <v>1497600</v>
          </cell>
          <cell r="H89">
            <v>1572480</v>
          </cell>
          <cell r="I89">
            <v>1647360</v>
          </cell>
          <cell r="J89">
            <v>1684800</v>
          </cell>
          <cell r="K89">
            <v>1722240</v>
          </cell>
          <cell r="L89">
            <v>1797120</v>
          </cell>
          <cell r="M89">
            <v>1797120</v>
          </cell>
          <cell r="N89">
            <v>1872000</v>
          </cell>
        </row>
        <row r="90">
          <cell r="A90" t="str">
            <v>Seattle</v>
          </cell>
          <cell r="B90">
            <v>0</v>
          </cell>
          <cell r="C90">
            <v>0</v>
          </cell>
          <cell r="D90">
            <v>262080</v>
          </cell>
          <cell r="E90">
            <v>284544</v>
          </cell>
          <cell r="F90">
            <v>292032</v>
          </cell>
          <cell r="G90">
            <v>299520</v>
          </cell>
          <cell r="H90">
            <v>314496</v>
          </cell>
          <cell r="I90">
            <v>329472</v>
          </cell>
          <cell r="J90">
            <v>336960</v>
          </cell>
          <cell r="K90">
            <v>344448</v>
          </cell>
          <cell r="L90">
            <v>359424</v>
          </cell>
          <cell r="M90">
            <v>359424</v>
          </cell>
          <cell r="N90">
            <v>374400</v>
          </cell>
        </row>
        <row r="121">
          <cell r="A121" t="str">
            <v>Boston</v>
          </cell>
          <cell r="B121">
            <v>6739.1750000000011</v>
          </cell>
          <cell r="C121">
            <v>6530.26</v>
          </cell>
          <cell r="D121">
            <v>7275.4450000000033</v>
          </cell>
          <cell r="E121">
            <v>7543.58</v>
          </cell>
          <cell r="F121">
            <v>7813.3600000000006</v>
          </cell>
          <cell r="G121">
            <v>8081.4950000000026</v>
          </cell>
          <cell r="H121">
            <v>8367.7250000000004</v>
          </cell>
          <cell r="I121">
            <v>8673.6950000000033</v>
          </cell>
          <cell r="J121">
            <v>8981.3100000000013</v>
          </cell>
          <cell r="K121">
            <v>9200.0950000000012</v>
          </cell>
          <cell r="L121">
            <v>9420.5250000000033</v>
          </cell>
          <cell r="M121">
            <v>9601.475000000004</v>
          </cell>
          <cell r="N121">
            <v>9892.6400000000012</v>
          </cell>
        </row>
        <row r="122">
          <cell r="A122" t="str">
            <v>New York</v>
          </cell>
          <cell r="B122">
            <v>14441.575000000001</v>
          </cell>
          <cell r="C122">
            <v>13993.900000000001</v>
          </cell>
          <cell r="D122">
            <v>15590.725000000002</v>
          </cell>
          <cell r="E122">
            <v>16165.3</v>
          </cell>
          <cell r="F122">
            <v>16743.400000000005</v>
          </cell>
          <cell r="G122">
            <v>17317.975000000002</v>
          </cell>
          <cell r="H122">
            <v>17931.325000000001</v>
          </cell>
          <cell r="I122">
            <v>18586.975000000002</v>
          </cell>
          <cell r="J122">
            <v>19246.150000000005</v>
          </cell>
          <cell r="K122">
            <v>19714.975000000002</v>
          </cell>
          <cell r="L122">
            <v>20187.325000000001</v>
          </cell>
          <cell r="M122">
            <v>20575.075000000001</v>
          </cell>
          <cell r="N122">
            <v>21199.000000000004</v>
          </cell>
        </row>
        <row r="123">
          <cell r="A123" t="str">
            <v>Philadelphia</v>
          </cell>
          <cell r="B123">
            <v>14441.575000000001</v>
          </cell>
          <cell r="C123">
            <v>13993.900000000001</v>
          </cell>
          <cell r="D123">
            <v>15590.725000000002</v>
          </cell>
          <cell r="E123">
            <v>16165.3</v>
          </cell>
          <cell r="F123">
            <v>16743.400000000005</v>
          </cell>
          <cell r="G123">
            <v>17317.975000000002</v>
          </cell>
          <cell r="H123">
            <v>17931.325000000001</v>
          </cell>
          <cell r="I123">
            <v>18586.975000000002</v>
          </cell>
          <cell r="J123">
            <v>19246.150000000005</v>
          </cell>
          <cell r="K123">
            <v>19714.975000000002</v>
          </cell>
          <cell r="L123">
            <v>20187.325000000001</v>
          </cell>
          <cell r="M123">
            <v>20575.075000000001</v>
          </cell>
          <cell r="N123">
            <v>21199.000000000004</v>
          </cell>
        </row>
        <row r="124">
          <cell r="A124" t="str">
            <v>Atlanta</v>
          </cell>
          <cell r="B124">
            <v>29846.575000000004</v>
          </cell>
          <cell r="C124">
            <v>28921.380000000005</v>
          </cell>
          <cell r="D124">
            <v>32221.485000000008</v>
          </cell>
          <cell r="E124">
            <v>33408.94</v>
          </cell>
          <cell r="F124">
            <v>34603.680000000008</v>
          </cell>
          <cell r="G124">
            <v>35791.135000000002</v>
          </cell>
          <cell r="H124">
            <v>37058.725000000013</v>
          </cell>
          <cell r="I124">
            <v>38413.735000000008</v>
          </cell>
          <cell r="J124">
            <v>39776.030000000013</v>
          </cell>
          <cell r="K124">
            <v>40744.935000000005</v>
          </cell>
          <cell r="L124">
            <v>41721.125000000007</v>
          </cell>
          <cell r="M124">
            <v>42522.475000000013</v>
          </cell>
          <cell r="N124">
            <v>43811.920000000006</v>
          </cell>
        </row>
        <row r="125">
          <cell r="A125" t="str">
            <v>Chicago</v>
          </cell>
          <cell r="B125">
            <v>18292.875</v>
          </cell>
          <cell r="C125">
            <v>17725.820000000007</v>
          </cell>
          <cell r="D125">
            <v>19748.465</v>
          </cell>
          <cell r="E125">
            <v>20476.260000000006</v>
          </cell>
          <cell r="F125">
            <v>21208.520000000004</v>
          </cell>
          <cell r="G125">
            <v>21936.314999999999</v>
          </cell>
          <cell r="H125">
            <v>22713.225000000006</v>
          </cell>
          <cell r="I125">
            <v>23543.715000000004</v>
          </cell>
          <cell r="J125">
            <v>24378.670000000006</v>
          </cell>
          <cell r="K125">
            <v>24972.515000000007</v>
          </cell>
          <cell r="L125">
            <v>25570.825000000004</v>
          </cell>
          <cell r="M125">
            <v>26061.975000000006</v>
          </cell>
          <cell r="N125">
            <v>26852.28</v>
          </cell>
        </row>
        <row r="126">
          <cell r="A126" t="str">
            <v>Dallas</v>
          </cell>
          <cell r="B126">
            <v>15404.5</v>
          </cell>
          <cell r="C126">
            <v>14926.980000000007</v>
          </cell>
          <cell r="D126">
            <v>16630.260000000006</v>
          </cell>
          <cell r="E126">
            <v>17243.140000000003</v>
          </cell>
          <cell r="F126">
            <v>17859.780000000002</v>
          </cell>
          <cell r="G126">
            <v>18472.66</v>
          </cell>
          <cell r="H126">
            <v>19126.900000000001</v>
          </cell>
          <cell r="I126">
            <v>19826.260000000006</v>
          </cell>
          <cell r="J126">
            <v>20529.380000000008</v>
          </cell>
          <cell r="K126">
            <v>21029.460000000003</v>
          </cell>
          <cell r="L126">
            <v>21533.300000000003</v>
          </cell>
          <cell r="M126">
            <v>21946.9</v>
          </cell>
          <cell r="N126">
            <v>22612.420000000006</v>
          </cell>
        </row>
        <row r="127">
          <cell r="A127" t="str">
            <v>Kansas City</v>
          </cell>
          <cell r="B127">
            <v>6739.1750000000011</v>
          </cell>
          <cell r="C127">
            <v>6530.26</v>
          </cell>
          <cell r="D127">
            <v>7275.4450000000033</v>
          </cell>
          <cell r="E127">
            <v>7543.58</v>
          </cell>
          <cell r="F127">
            <v>7813.3600000000006</v>
          </cell>
          <cell r="G127">
            <v>8081.4950000000026</v>
          </cell>
          <cell r="H127">
            <v>8367.7250000000004</v>
          </cell>
          <cell r="I127">
            <v>8673.6950000000033</v>
          </cell>
          <cell r="J127">
            <v>8981.3100000000013</v>
          </cell>
          <cell r="K127">
            <v>9200.0950000000012</v>
          </cell>
          <cell r="L127">
            <v>9420.5250000000033</v>
          </cell>
          <cell r="M127">
            <v>9601.475000000004</v>
          </cell>
          <cell r="N127">
            <v>9892.6400000000012</v>
          </cell>
        </row>
        <row r="128">
          <cell r="A128" t="str">
            <v>Denver</v>
          </cell>
          <cell r="B128">
            <v>4813.5250000000005</v>
          </cell>
          <cell r="C128">
            <v>4664.300000000002</v>
          </cell>
          <cell r="D128">
            <v>5196.5750000000016</v>
          </cell>
          <cell r="E128">
            <v>5388.1000000000013</v>
          </cell>
          <cell r="F128">
            <v>5580.800000000002</v>
          </cell>
          <cell r="G128">
            <v>5772.3250000000016</v>
          </cell>
          <cell r="H128">
            <v>5976.7750000000005</v>
          </cell>
          <cell r="I128">
            <v>6195.3250000000016</v>
          </cell>
          <cell r="J128">
            <v>6415.0500000000011</v>
          </cell>
          <cell r="K128">
            <v>6571.3250000000007</v>
          </cell>
          <cell r="L128">
            <v>6728.7749999999996</v>
          </cell>
          <cell r="M128">
            <v>6858.0249999999996</v>
          </cell>
          <cell r="N128">
            <v>7066</v>
          </cell>
        </row>
        <row r="129">
          <cell r="A129" t="str">
            <v>San Francisco</v>
          </cell>
          <cell r="B129">
            <v>19255.600000000002</v>
          </cell>
          <cell r="C129">
            <v>18658.700000000008</v>
          </cell>
          <cell r="D129">
            <v>20787.800000000007</v>
          </cell>
          <cell r="E129">
            <v>21553.900000000005</v>
          </cell>
          <cell r="F129">
            <v>22324.700000000008</v>
          </cell>
          <cell r="G129">
            <v>23090.800000000007</v>
          </cell>
          <cell r="H129">
            <v>23908.600000000002</v>
          </cell>
          <cell r="I129">
            <v>24782.800000000007</v>
          </cell>
          <cell r="J129">
            <v>25661.700000000004</v>
          </cell>
          <cell r="K129">
            <v>26286.800000000003</v>
          </cell>
          <cell r="L129">
            <v>26916.6</v>
          </cell>
          <cell r="M129">
            <v>27433.599999999999</v>
          </cell>
          <cell r="N129">
            <v>28265.5</v>
          </cell>
        </row>
        <row r="130">
          <cell r="A130" t="str">
            <v>Seattle</v>
          </cell>
          <cell r="B130">
            <v>3850.8</v>
          </cell>
          <cell r="C130">
            <v>3731.420000000001</v>
          </cell>
          <cell r="D130">
            <v>4157.2400000000016</v>
          </cell>
          <cell r="E130">
            <v>4310.4600000000009</v>
          </cell>
          <cell r="F130">
            <v>4464.62</v>
          </cell>
          <cell r="G130">
            <v>4617.84</v>
          </cell>
          <cell r="H130">
            <v>4781.4000000000005</v>
          </cell>
          <cell r="I130">
            <v>4956.2400000000016</v>
          </cell>
          <cell r="J130">
            <v>5132.0200000000013</v>
          </cell>
          <cell r="K130">
            <v>5257.0400000000009</v>
          </cell>
          <cell r="L130">
            <v>5383.0000000000009</v>
          </cell>
          <cell r="M130">
            <v>5486.4000000000005</v>
          </cell>
          <cell r="N130">
            <v>5652.7800000000016</v>
          </cell>
        </row>
      </sheetData>
      <sheetData sheetId="18" refreshError="1">
        <row r="1">
          <cell r="B1" t="str">
            <v>Boston</v>
          </cell>
          <cell r="C1" t="str">
            <v>New York</v>
          </cell>
          <cell r="D1" t="str">
            <v>Philadelphia</v>
          </cell>
          <cell r="E1" t="str">
            <v>Atlanta</v>
          </cell>
          <cell r="F1" t="str">
            <v>Chicago</v>
          </cell>
          <cell r="G1" t="str">
            <v>Dallas</v>
          </cell>
          <cell r="H1" t="str">
            <v>Kansas City</v>
          </cell>
          <cell r="I1" t="str">
            <v>Denver</v>
          </cell>
          <cell r="J1" t="str">
            <v>San Francisco</v>
          </cell>
          <cell r="K1" t="str">
            <v>Seattle</v>
          </cell>
        </row>
        <row r="2">
          <cell r="B2" t="str">
            <v>Boston</v>
          </cell>
          <cell r="C2" t="str">
            <v>Albany</v>
          </cell>
          <cell r="D2" t="str">
            <v>Baltimore</v>
          </cell>
          <cell r="E2" t="str">
            <v>Atlanta</v>
          </cell>
          <cell r="F2" t="str">
            <v>Chicago D/T</v>
          </cell>
          <cell r="G2" t="str">
            <v>Albequerque</v>
          </cell>
          <cell r="H2" t="str">
            <v>Creve Coeur</v>
          </cell>
          <cell r="I2" t="str">
            <v>Billings</v>
          </cell>
          <cell r="J2" t="str">
            <v>Downey</v>
          </cell>
          <cell r="K2" t="str">
            <v>Eugene</v>
          </cell>
        </row>
        <row r="3">
          <cell r="B3" t="str">
            <v>Hartford</v>
          </cell>
          <cell r="C3" t="str">
            <v>Bronx</v>
          </cell>
          <cell r="D3" t="str">
            <v>Charleston</v>
          </cell>
          <cell r="E3" t="str">
            <v>Birmingham</v>
          </cell>
          <cell r="F3" t="str">
            <v>Chicago South</v>
          </cell>
          <cell r="G3" t="str">
            <v>Alexandria</v>
          </cell>
          <cell r="H3" t="str">
            <v>Des Moines</v>
          </cell>
          <cell r="I3" t="str">
            <v>Denver</v>
          </cell>
          <cell r="J3" t="str">
            <v>Fresno</v>
          </cell>
          <cell r="K3" t="str">
            <v>Portland</v>
          </cell>
        </row>
        <row r="4">
          <cell r="B4" t="str">
            <v>Manchester</v>
          </cell>
          <cell r="C4" t="str">
            <v>Brooklyn</v>
          </cell>
          <cell r="D4" t="str">
            <v>Charlottesville</v>
          </cell>
          <cell r="E4" t="str">
            <v>Chamblee</v>
          </cell>
          <cell r="F4" t="str">
            <v>Cincinnati</v>
          </cell>
          <cell r="G4" t="str">
            <v>Dallas D/T</v>
          </cell>
          <cell r="H4" t="str">
            <v>Kansas City</v>
          </cell>
          <cell r="I4" t="str">
            <v>Fargo</v>
          </cell>
          <cell r="J4" t="str">
            <v>Honolulu</v>
          </cell>
          <cell r="K4" t="str">
            <v>Seattle</v>
          </cell>
        </row>
        <row r="5">
          <cell r="B5" t="str">
            <v>New Haven</v>
          </cell>
          <cell r="C5" t="str">
            <v>Buffalo</v>
          </cell>
          <cell r="D5" t="str">
            <v>Harrisburg</v>
          </cell>
          <cell r="E5" t="str">
            <v>Charleston</v>
          </cell>
          <cell r="F5" t="str">
            <v>Cleveland</v>
          </cell>
          <cell r="G5" t="str">
            <v>Dallas North</v>
          </cell>
          <cell r="H5" t="str">
            <v>Omaha</v>
          </cell>
          <cell r="I5" t="str">
            <v>Rapid City</v>
          </cell>
          <cell r="J5" t="str">
            <v>Long Beach</v>
          </cell>
          <cell r="K5" t="str">
            <v>Spokane</v>
          </cell>
        </row>
        <row r="6">
          <cell r="B6" t="str">
            <v>Portland</v>
          </cell>
          <cell r="D6" t="str">
            <v>Huntington</v>
          </cell>
          <cell r="E6" t="str">
            <v>Charlotte</v>
          </cell>
          <cell r="F6" t="str">
            <v>Columbus</v>
          </cell>
          <cell r="H6" t="str">
            <v>Springfield</v>
          </cell>
          <cell r="I6" t="str">
            <v>Salt Lake City</v>
          </cell>
          <cell r="J6" t="str">
            <v>Las Vegas</v>
          </cell>
          <cell r="L6">
            <v>1</v>
          </cell>
          <cell r="M6" t="str">
            <v>Boston</v>
          </cell>
          <cell r="N6">
            <v>7</v>
          </cell>
        </row>
        <row r="7">
          <cell r="B7" t="str">
            <v>Providence</v>
          </cell>
          <cell r="C7" t="str">
            <v>Jericho</v>
          </cell>
          <cell r="F7" t="str">
            <v>Dayton</v>
          </cell>
          <cell r="G7" t="str">
            <v>Fort Smith</v>
          </cell>
          <cell r="H7" t="str">
            <v>St. Louis</v>
          </cell>
          <cell r="J7" t="str">
            <v>Los Angeles D/T</v>
          </cell>
          <cell r="L7">
            <v>2</v>
          </cell>
          <cell r="M7" t="str">
            <v>New York</v>
          </cell>
          <cell r="N7">
            <v>15</v>
          </cell>
        </row>
        <row r="8">
          <cell r="B8" t="str">
            <v>Springfield</v>
          </cell>
          <cell r="C8" t="str">
            <v>Manhattan South</v>
          </cell>
          <cell r="D8" t="str">
            <v>Johnstown</v>
          </cell>
          <cell r="E8" t="str">
            <v>Chattanooga</v>
          </cell>
          <cell r="F8" t="str">
            <v>Detroit</v>
          </cell>
          <cell r="G8" t="str">
            <v>Fort Worth</v>
          </cell>
          <cell r="H8" t="str">
            <v>Wichita</v>
          </cell>
          <cell r="J8" t="str">
            <v>Los Angeles West</v>
          </cell>
          <cell r="L8">
            <v>3</v>
          </cell>
          <cell r="M8" t="str">
            <v>Philadelphia</v>
          </cell>
          <cell r="N8">
            <v>15</v>
          </cell>
        </row>
        <row r="9">
          <cell r="C9" t="str">
            <v>Mayaguez</v>
          </cell>
          <cell r="D9" t="str">
            <v>Morgantown</v>
          </cell>
          <cell r="E9" t="str">
            <v>Columbia</v>
          </cell>
          <cell r="F9" t="str">
            <v>Evanston</v>
          </cell>
          <cell r="G9" t="str">
            <v>Houston</v>
          </cell>
          <cell r="J9" t="str">
            <v xml:space="preserve">Oakland </v>
          </cell>
          <cell r="L9">
            <v>4</v>
          </cell>
          <cell r="M9" t="str">
            <v>Atlanta</v>
          </cell>
          <cell r="N9">
            <v>31</v>
          </cell>
        </row>
        <row r="10">
          <cell r="C10" t="str">
            <v>Newark</v>
          </cell>
          <cell r="D10" t="str">
            <v>Norfolk</v>
          </cell>
          <cell r="E10" t="str">
            <v>Florence</v>
          </cell>
          <cell r="F10" t="str">
            <v>Evansville</v>
          </cell>
          <cell r="G10" t="str">
            <v>Houston D/T</v>
          </cell>
          <cell r="J10" t="str">
            <v>Orange</v>
          </cell>
          <cell r="L10">
            <v>5</v>
          </cell>
          <cell r="M10" t="str">
            <v>Chicago</v>
          </cell>
          <cell r="N10">
            <v>19</v>
          </cell>
        </row>
        <row r="11">
          <cell r="C11" t="str">
            <v>New York</v>
          </cell>
          <cell r="D11" t="str">
            <v>Philadelphia</v>
          </cell>
          <cell r="E11" t="str">
            <v>Fort Lauderdale</v>
          </cell>
          <cell r="F11" t="str">
            <v>Flint</v>
          </cell>
          <cell r="G11" t="str">
            <v>Little Rock</v>
          </cell>
          <cell r="J11" t="str">
            <v>Pasadena</v>
          </cell>
          <cell r="L11">
            <v>6</v>
          </cell>
          <cell r="M11" t="str">
            <v>Dallas</v>
          </cell>
          <cell r="N11">
            <v>16</v>
          </cell>
        </row>
        <row r="12">
          <cell r="C12" t="str">
            <v>Ponce</v>
          </cell>
          <cell r="D12" t="str">
            <v>Philadelphia East</v>
          </cell>
          <cell r="E12" t="str">
            <v>Greensboro</v>
          </cell>
          <cell r="F12" t="str">
            <v>Fort Wayne</v>
          </cell>
          <cell r="G12" t="str">
            <v>McAlester</v>
          </cell>
          <cell r="J12" t="str">
            <v>Phoenix</v>
          </cell>
          <cell r="L12">
            <v>7</v>
          </cell>
          <cell r="M12" t="str">
            <v>Kansas City</v>
          </cell>
          <cell r="N12">
            <v>7</v>
          </cell>
        </row>
        <row r="13">
          <cell r="C13" t="str">
            <v>Queens</v>
          </cell>
          <cell r="D13" t="str">
            <v>Pittsburgh</v>
          </cell>
          <cell r="F13" t="str">
            <v>Grand Rapids</v>
          </cell>
          <cell r="G13" t="str">
            <v>Metairie</v>
          </cell>
          <cell r="J13" t="str">
            <v>Sacramento</v>
          </cell>
          <cell r="L13">
            <v>8</v>
          </cell>
          <cell r="M13" t="str">
            <v>Denver</v>
          </cell>
          <cell r="N13">
            <v>5</v>
          </cell>
        </row>
        <row r="14">
          <cell r="C14" t="str">
            <v>San Juan</v>
          </cell>
          <cell r="D14" t="str">
            <v>Richmond</v>
          </cell>
          <cell r="E14" t="str">
            <v>Greenville</v>
          </cell>
          <cell r="F14" t="str">
            <v>Indianapolis</v>
          </cell>
          <cell r="G14" t="str">
            <v>New Orleans</v>
          </cell>
          <cell r="J14" t="str">
            <v>San Bernadino</v>
          </cell>
          <cell r="L14">
            <v>9</v>
          </cell>
          <cell r="M14" t="str">
            <v>San Francisco</v>
          </cell>
          <cell r="N14">
            <v>20</v>
          </cell>
        </row>
        <row r="15">
          <cell r="C15" t="str">
            <v>Syracuse</v>
          </cell>
          <cell r="D15" t="str">
            <v>Roanoke</v>
          </cell>
          <cell r="E15" t="str">
            <v>Hattiesburg</v>
          </cell>
          <cell r="F15" t="str">
            <v>Lansing</v>
          </cell>
          <cell r="G15" t="str">
            <v>Oklahoma City</v>
          </cell>
          <cell r="J15" t="str">
            <v>San Diego</v>
          </cell>
          <cell r="L15">
            <v>10</v>
          </cell>
          <cell r="M15" t="str">
            <v>Seattle</v>
          </cell>
          <cell r="N15">
            <v>4</v>
          </cell>
        </row>
        <row r="16">
          <cell r="C16" t="str">
            <v>Voorhees</v>
          </cell>
          <cell r="D16" t="str">
            <v>Washington</v>
          </cell>
          <cell r="E16" t="str">
            <v>Jackson</v>
          </cell>
          <cell r="G16" t="str">
            <v>San Antonio</v>
          </cell>
          <cell r="J16" t="str">
            <v>San Fransisco</v>
          </cell>
        </row>
        <row r="17">
          <cell r="C17" t="str">
            <v>White Plains</v>
          </cell>
          <cell r="D17" t="str">
            <v>Wilkes-Barre</v>
          </cell>
          <cell r="E17" t="str">
            <v>Jacksonville</v>
          </cell>
          <cell r="F17" t="str">
            <v>Milwaukee</v>
          </cell>
          <cell r="G17" t="str">
            <v>Shreveport</v>
          </cell>
          <cell r="J17" t="str">
            <v>San Jose</v>
          </cell>
          <cell r="N17">
            <v>139</v>
          </cell>
        </row>
        <row r="18">
          <cell r="E18" t="str">
            <v>Kingsport</v>
          </cell>
          <cell r="F18" t="str">
            <v>Minneapolis</v>
          </cell>
          <cell r="J18" t="str">
            <v>San Rafael</v>
          </cell>
        </row>
        <row r="19">
          <cell r="E19" t="str">
            <v>Knoxville</v>
          </cell>
          <cell r="F19" t="str">
            <v>Oak Park</v>
          </cell>
          <cell r="G19" t="str">
            <v>Tulsa</v>
          </cell>
          <cell r="J19" t="str">
            <v>Santa Barbara</v>
          </cell>
        </row>
        <row r="20">
          <cell r="E20" t="str">
            <v>Lexington</v>
          </cell>
          <cell r="F20" t="str">
            <v>Oakbrook</v>
          </cell>
          <cell r="J20" t="str">
            <v>Stockton</v>
          </cell>
        </row>
        <row r="21">
          <cell r="E21" t="str">
            <v>Louisville</v>
          </cell>
          <cell r="F21" t="str">
            <v>Peoria</v>
          </cell>
          <cell r="J21" t="str">
            <v>Tuscon</v>
          </cell>
        </row>
        <row r="22">
          <cell r="E22" t="str">
            <v>Macon</v>
          </cell>
        </row>
        <row r="23">
          <cell r="E23" t="str">
            <v>Memphis</v>
          </cell>
        </row>
        <row r="24">
          <cell r="E24" t="str">
            <v>Miami</v>
          </cell>
        </row>
        <row r="25">
          <cell r="E25" t="str">
            <v>Middlesboro</v>
          </cell>
        </row>
        <row r="26">
          <cell r="E26" t="str">
            <v>Mobile</v>
          </cell>
        </row>
        <row r="27">
          <cell r="E27" t="str">
            <v>Montgomery</v>
          </cell>
        </row>
        <row r="28">
          <cell r="E28" t="str">
            <v>Nashville</v>
          </cell>
        </row>
        <row r="29">
          <cell r="E29" t="str">
            <v>Orlando</v>
          </cell>
        </row>
        <row r="30">
          <cell r="E30" t="str">
            <v>Paducah</v>
          </cell>
        </row>
        <row r="31">
          <cell r="E31" t="str">
            <v>Raleigh</v>
          </cell>
        </row>
        <row r="33">
          <cell r="E33" t="str">
            <v>Savannah</v>
          </cell>
        </row>
        <row r="34">
          <cell r="E34" t="str">
            <v>Tampa</v>
          </cell>
        </row>
        <row r="35">
          <cell r="E35" t="str">
            <v>Tupelo</v>
          </cell>
        </row>
        <row r="42">
          <cell r="B42">
            <v>7</v>
          </cell>
          <cell r="C42">
            <v>15</v>
          </cell>
          <cell r="D42">
            <v>15</v>
          </cell>
          <cell r="E42">
            <v>31</v>
          </cell>
          <cell r="F42">
            <v>19</v>
          </cell>
          <cell r="G42">
            <v>16</v>
          </cell>
          <cell r="H42">
            <v>7</v>
          </cell>
          <cell r="I42">
            <v>5</v>
          </cell>
          <cell r="J42">
            <v>20</v>
          </cell>
          <cell r="K42">
            <v>4</v>
          </cell>
        </row>
      </sheetData>
      <sheetData sheetId="19" refreshError="1">
        <row r="2">
          <cell r="A2" t="str">
            <v>FTR 2-Channel Portable Kit</v>
          </cell>
          <cell r="B2" t="str">
            <v>Total</v>
          </cell>
          <cell r="C2">
            <v>4300</v>
          </cell>
          <cell r="D2" t="str">
            <v>each</v>
          </cell>
          <cell r="E2">
            <v>500</v>
          </cell>
          <cell r="F2">
            <v>600</v>
          </cell>
        </row>
        <row r="3">
          <cell r="B3" t="str">
            <v>FTR Reporter Version 2.0 Software</v>
          </cell>
          <cell r="C3">
            <v>3900</v>
          </cell>
        </row>
        <row r="4">
          <cell r="B4" t="str">
            <v>FTR Log Notes Software</v>
          </cell>
        </row>
        <row r="5">
          <cell r="B5" t="str">
            <v>MX 4 Mixer</v>
          </cell>
        </row>
        <row r="6">
          <cell r="B6" t="str">
            <v>Travel Bag</v>
          </cell>
        </row>
        <row r="7">
          <cell r="B7" t="str">
            <v>Laptop that meets minimum specifications</v>
          </cell>
          <cell r="C7">
            <v>0</v>
          </cell>
        </row>
        <row r="8">
          <cell r="B8" t="str">
            <v>up to 4 microphones with XLR connections</v>
          </cell>
          <cell r="C8">
            <v>400</v>
          </cell>
          <cell r="D8">
            <v>4</v>
          </cell>
          <cell r="G8" t="str">
            <v>FTR 2-Channel Portable Kit</v>
          </cell>
        </row>
        <row r="9">
          <cell r="G9" t="str">
            <v>FTR 4-Channel</v>
          </cell>
        </row>
        <row r="10">
          <cell r="A10" t="str">
            <v>FTR 4-Channel</v>
          </cell>
          <cell r="B10" t="str">
            <v>Total</v>
          </cell>
          <cell r="C10">
            <v>6300</v>
          </cell>
          <cell r="D10" t="str">
            <v>each</v>
          </cell>
          <cell r="E10">
            <v>500</v>
          </cell>
          <cell r="F10">
            <v>600</v>
          </cell>
          <cell r="G10" t="str">
            <v>FTR Single Room Installation</v>
          </cell>
        </row>
        <row r="11">
          <cell r="B11" t="str">
            <v>FTR Reporter Version 2.0 Software</v>
          </cell>
          <cell r="C11">
            <v>5900</v>
          </cell>
          <cell r="D11" t="str">
            <v>each</v>
          </cell>
          <cell r="G11" t="str">
            <v>FTR Installed ReporterDeck Solution (Appliance)</v>
          </cell>
        </row>
        <row r="12">
          <cell r="B12" t="str">
            <v>FTR Log Notes Software</v>
          </cell>
          <cell r="G12" t="str">
            <v>Courtsmart Complete 2 channel laptop system</v>
          </cell>
        </row>
        <row r="13">
          <cell r="B13" t="str">
            <v>MX 4 Mixer</v>
          </cell>
          <cell r="G13" t="str">
            <v>Courtsmart Complete 4 channel laptop system</v>
          </cell>
        </row>
        <row r="14">
          <cell r="B14" t="str">
            <v>4-channel PCMCIA Encoder Card</v>
          </cell>
          <cell r="G14" t="str">
            <v>Courtsmart Permanent Installations, Central Server-based Courtroom</v>
          </cell>
        </row>
        <row r="15">
          <cell r="B15" t="str">
            <v>Travel Bag</v>
          </cell>
          <cell r="G15" t="str">
            <v>Higdon Budget, portable, 3 microphones, 2 channel</v>
          </cell>
        </row>
        <row r="16">
          <cell r="B16" t="str">
            <v>Laptop that meets minimum specifications</v>
          </cell>
          <cell r="C16">
            <v>0</v>
          </cell>
          <cell r="G16" t="str">
            <v>Higdon Full feature, fixed, 4 microphones, 4 channel</v>
          </cell>
        </row>
        <row r="17">
          <cell r="B17" t="str">
            <v>up to 4 microphones with XLR connections</v>
          </cell>
          <cell r="C17">
            <v>400</v>
          </cell>
          <cell r="D17">
            <v>4</v>
          </cell>
        </row>
        <row r="19">
          <cell r="A19" t="str">
            <v>FTR Single Room Installation</v>
          </cell>
          <cell r="B19" t="str">
            <v>Total</v>
          </cell>
          <cell r="C19">
            <v>7535</v>
          </cell>
          <cell r="D19" t="str">
            <v>permanent hearing room</v>
          </cell>
          <cell r="E19">
            <v>500</v>
          </cell>
          <cell r="F19">
            <v>600</v>
          </cell>
        </row>
        <row r="20">
          <cell r="B20" t="str">
            <v>FTR Reporter Version 2.0 Software</v>
          </cell>
          <cell r="C20">
            <v>3495</v>
          </cell>
        </row>
        <row r="21">
          <cell r="B21" t="str">
            <v>FTR Log Notes Software</v>
          </cell>
          <cell r="C21">
            <v>200</v>
          </cell>
        </row>
        <row r="22">
          <cell r="B22" t="str">
            <v>FTR 4-channel Encoder Card</v>
          </cell>
          <cell r="C22">
            <v>750</v>
          </cell>
        </row>
        <row r="23">
          <cell r="B23" t="str">
            <v>MX 3 Mixer (8 inputs/4 outputs)</v>
          </cell>
          <cell r="C23">
            <v>1895</v>
          </cell>
        </row>
        <row r="24">
          <cell r="B24" t="str">
            <v>External Digital Clock</v>
          </cell>
          <cell r="C24">
            <v>395</v>
          </cell>
        </row>
        <row r="25">
          <cell r="B25" t="str">
            <v>PC that meets minimum specifications</v>
          </cell>
          <cell r="C25">
            <v>0</v>
          </cell>
        </row>
        <row r="26">
          <cell r="B26" t="str">
            <v>up to 8 microphones with XLR connections</v>
          </cell>
          <cell r="C26">
            <v>800</v>
          </cell>
          <cell r="D26">
            <v>8</v>
          </cell>
        </row>
        <row r="28">
          <cell r="A28" t="str">
            <v>FTR Installed ReporterDeck Solution (Appliance)</v>
          </cell>
          <cell r="B28" t="str">
            <v>Total</v>
          </cell>
          <cell r="C28">
            <v>7390</v>
          </cell>
          <cell r="D28" t="str">
            <v>permanent hearing room</v>
          </cell>
          <cell r="E28">
            <v>300</v>
          </cell>
          <cell r="F28">
            <v>400</v>
          </cell>
        </row>
        <row r="29">
          <cell r="B29" t="str">
            <v>FTR ReporterDeck</v>
          </cell>
          <cell r="C29">
            <v>5995</v>
          </cell>
        </row>
        <row r="30">
          <cell r="B30" t="str">
            <v>FTR Log Notes Software</v>
          </cell>
          <cell r="C30">
            <v>200</v>
          </cell>
        </row>
        <row r="31">
          <cell r="B31" t="str">
            <v>External Digital Clock</v>
          </cell>
          <cell r="C31">
            <v>395</v>
          </cell>
        </row>
        <row r="32">
          <cell r="B32" t="str">
            <v>Optional PC/laptop in room for FTR Log Notes</v>
          </cell>
        </row>
        <row r="33">
          <cell r="B33" t="str">
            <v>up to 8 microphones with XLR connections</v>
          </cell>
          <cell r="C33">
            <v>800</v>
          </cell>
          <cell r="D33">
            <v>8</v>
          </cell>
        </row>
        <row r="37">
          <cell r="A37" t="str">
            <v>Courtsmart Complete 2 channel laptop system</v>
          </cell>
          <cell r="B37" t="str">
            <v>Dell Latitude 810 Laptop or Equivalent</v>
          </cell>
          <cell r="C37">
            <v>9800</v>
          </cell>
          <cell r="D37" t="str">
            <v>each</v>
          </cell>
          <cell r="E37">
            <v>500</v>
          </cell>
          <cell r="F37">
            <v>0</v>
          </cell>
        </row>
        <row r="38">
          <cell r="B38" t="str">
            <v>All CourtSmart Application Software</v>
          </cell>
        </row>
        <row r="39">
          <cell r="B39" t="str">
            <v>USB Mic Mixer/pre-amp</v>
          </cell>
        </row>
        <row r="40">
          <cell r="B40" t="str">
            <v>2 AT pzm Condenser Microphones</v>
          </cell>
        </row>
        <row r="41">
          <cell r="B41" t="str">
            <v>Windows 2000 Professional, SQL Database</v>
          </cell>
        </row>
        <row r="42">
          <cell r="B42" t="str">
            <v>Carrying Case Packaging</v>
          </cell>
        </row>
        <row r="44">
          <cell r="A44" t="str">
            <v>Courtsmart Complete 4 channel laptop system</v>
          </cell>
          <cell r="B44" t="str">
            <v>Dell Latitude 810 Laptop or Equivalent</v>
          </cell>
          <cell r="C44">
            <v>10900</v>
          </cell>
          <cell r="D44" t="str">
            <v>each</v>
          </cell>
          <cell r="E44">
            <v>500</v>
          </cell>
          <cell r="F44">
            <v>0</v>
          </cell>
        </row>
        <row r="45">
          <cell r="B45" t="str">
            <v>All CourtSmart Application Software</v>
          </cell>
        </row>
        <row r="46">
          <cell r="B46" t="str">
            <v>USB Mic Mixer/pre-amp</v>
          </cell>
        </row>
        <row r="47">
          <cell r="B47" t="str">
            <v>2 AT pzm Condenser Microphones</v>
          </cell>
        </row>
        <row r="48">
          <cell r="B48" t="str">
            <v>Windows 2000 Professional, SQL Database</v>
          </cell>
        </row>
        <row r="49">
          <cell r="B49" t="str">
            <v>Carrying Case Packaging</v>
          </cell>
        </row>
        <row r="50">
          <cell r="B50" t="str">
            <v>2 additional microphones</v>
          </cell>
        </row>
        <row r="51">
          <cell r="B51" t="str">
            <v>PCMCIA 4 channel digital adapter</v>
          </cell>
        </row>
        <row r="53">
          <cell r="A53" t="str">
            <v>Courtsmart Permanent Installations, Central Server-based Courtroom</v>
          </cell>
          <cell r="B53" t="str">
            <v>Total</v>
          </cell>
          <cell r="C53">
            <v>29600</v>
          </cell>
          <cell r="D53" t="str">
            <v>per courtroom</v>
          </cell>
          <cell r="E53">
            <v>1000</v>
          </cell>
          <cell r="F53">
            <v>0</v>
          </cell>
        </row>
        <row r="54">
          <cell r="B54" t="str">
            <v>server recording software, including digital encoders</v>
          </cell>
          <cell r="C54">
            <v>8000</v>
          </cell>
          <cell r="D54" t="str">
            <v>per courtroom/hearing room</v>
          </cell>
        </row>
        <row r="55">
          <cell r="B55" t="str">
            <v>client software</v>
          </cell>
          <cell r="C55">
            <v>1500</v>
          </cell>
          <cell r="D55" t="str">
            <v>per workstation PC</v>
          </cell>
        </row>
        <row r="56">
          <cell r="B56" t="str">
            <v>complete audio sound reinforcement systems</v>
          </cell>
          <cell r="C56">
            <v>12500</v>
          </cell>
          <cell r="D56" t="str">
            <v>per courtroom/hearing room</v>
          </cell>
        </row>
        <row r="57">
          <cell r="B57" t="str">
            <v>ADA hearing assisted system</v>
          </cell>
          <cell r="C57">
            <v>3800</v>
          </cell>
          <cell r="D57" t="str">
            <v>(each)</v>
          </cell>
        </row>
        <row r="58">
          <cell r="B58" t="str">
            <v>high-speed cassette duplications system</v>
          </cell>
          <cell r="C58">
            <v>3800</v>
          </cell>
          <cell r="D58" t="str">
            <v>(each)</v>
          </cell>
        </row>
        <row r="60">
          <cell r="A60" t="str">
            <v>Higdon Budget, portable, 3 microphones, 2 channel</v>
          </cell>
          <cell r="C60">
            <v>2300</v>
          </cell>
          <cell r="D60" t="str">
            <v>each</v>
          </cell>
          <cell r="E60">
            <v>300</v>
          </cell>
          <cell r="F60">
            <v>600</v>
          </cell>
        </row>
        <row r="61">
          <cell r="B61" t="str">
            <v>Laptop computer</v>
          </cell>
          <cell r="C61">
            <v>0</v>
          </cell>
        </row>
        <row r="62">
          <cell r="B62" t="str">
            <v>CourtABLE LT</v>
          </cell>
          <cell r="C62">
            <v>1195</v>
          </cell>
        </row>
        <row r="63">
          <cell r="B63" t="str">
            <v>1 year support</v>
          </cell>
          <cell r="C63">
            <v>180</v>
          </cell>
        </row>
        <row r="64">
          <cell r="B64" t="str">
            <v>AVI MX32</v>
          </cell>
          <cell r="C64">
            <v>250</v>
          </cell>
        </row>
        <row r="65">
          <cell r="B65" t="str">
            <v>3 Pro49Q mics</v>
          </cell>
          <cell r="C65">
            <v>675</v>
          </cell>
        </row>
        <row r="67">
          <cell r="A67" t="str">
            <v>Higdon Full feature, fixed, 4 microphones, 4 channel</v>
          </cell>
          <cell r="C67">
            <v>4279</v>
          </cell>
          <cell r="D67" t="str">
            <v>permanent hearing room</v>
          </cell>
          <cell r="E67">
            <v>300</v>
          </cell>
          <cell r="F67">
            <v>600</v>
          </cell>
        </row>
        <row r="68">
          <cell r="B68" t="str">
            <v>Desktop computer</v>
          </cell>
          <cell r="C68">
            <v>0</v>
          </cell>
        </row>
        <row r="69">
          <cell r="B69" t="str">
            <v>CourtABLE LT</v>
          </cell>
          <cell r="C69">
            <v>1195</v>
          </cell>
        </row>
        <row r="70">
          <cell r="B70" t="str">
            <v>1 year support</v>
          </cell>
          <cell r="C70">
            <v>180</v>
          </cell>
        </row>
        <row r="71">
          <cell r="B71" t="str">
            <v>AVI MX32</v>
          </cell>
          <cell r="C71">
            <v>425</v>
          </cell>
        </row>
        <row r="72">
          <cell r="B72" t="str">
            <v>4 Pro49Q mics</v>
          </cell>
          <cell r="C72">
            <v>900</v>
          </cell>
        </row>
        <row r="73">
          <cell r="B73" t="str">
            <v>Digigram LCM440</v>
          </cell>
          <cell r="C73">
            <v>1579</v>
          </cell>
        </row>
      </sheetData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_Summary"/>
      <sheetName val="SC"/>
      <sheetName val="Field"/>
    </sheetNames>
    <sheetDataSet>
      <sheetData sheetId="0" refreshError="1"/>
      <sheetData sheetId="1" refreshError="1">
        <row r="42">
          <cell r="C42" t="str">
            <v>I-90</v>
          </cell>
          <cell r="D42" t="str">
            <v>I-102</v>
          </cell>
          <cell r="E42" t="str">
            <v>I-129 Forms</v>
          </cell>
          <cell r="F42" t="str">
            <v>I-129F</v>
          </cell>
          <cell r="G42" t="str">
            <v>I-130 Oth Rel</v>
          </cell>
          <cell r="H42" t="str">
            <v>I-130 Sps/Fia</v>
          </cell>
          <cell r="I42" t="str">
            <v>I-131 RP/RD</v>
          </cell>
          <cell r="J42" t="str">
            <v>I-131 Adv Parl</v>
          </cell>
          <cell r="K42" t="str">
            <v>I-140 Imm Wkr</v>
          </cell>
          <cell r="L42" t="str">
            <v>Waivers</v>
          </cell>
          <cell r="M42" t="str">
            <v>I-360s</v>
          </cell>
          <cell r="N42" t="str">
            <v>I-485 Reg</v>
          </cell>
          <cell r="O42" t="str">
            <v>I-485 Indo</v>
          </cell>
          <cell r="P42" t="str">
            <v>I-485 Ref/Adj</v>
          </cell>
          <cell r="Q42" t="str">
            <v>I-485 Asyl</v>
          </cell>
          <cell r="R42" t="str">
            <v>I-539 Forms</v>
          </cell>
          <cell r="S42" t="str">
            <v>I-600 Orphan</v>
          </cell>
          <cell r="T42" t="str">
            <v>I-687-98</v>
          </cell>
          <cell r="U42" t="str">
            <v>I-730 R/Rel</v>
          </cell>
          <cell r="V42" t="str">
            <v>I-751</v>
          </cell>
          <cell r="W42" t="str">
            <v>I-765 EAD</v>
          </cell>
          <cell r="X42" t="str">
            <v>I-821 TPS</v>
          </cell>
          <cell r="Y42" t="str">
            <v>I-824</v>
          </cell>
          <cell r="Z42" t="str">
            <v>N-400 Regular</v>
          </cell>
          <cell r="AA42" t="str">
            <v>N-400 Military</v>
          </cell>
          <cell r="AB42" t="str">
            <v>N-565</v>
          </cell>
          <cell r="AC42" t="str">
            <v>N-600/600K</v>
          </cell>
        </row>
        <row r="43">
          <cell r="C43">
            <v>0.62091942447138526</v>
          </cell>
          <cell r="D43">
            <v>0.31050085544330847</v>
          </cell>
          <cell r="E43">
            <v>0.47095564466424639</v>
          </cell>
          <cell r="F43">
            <v>0.34679693087264402</v>
          </cell>
          <cell r="G43">
            <v>0.44909184361776044</v>
          </cell>
          <cell r="H43">
            <v>0.18815116000528889</v>
          </cell>
          <cell r="I43">
            <v>0.227147379139125</v>
          </cell>
          <cell r="J43">
            <v>0.16656067843900446</v>
          </cell>
          <cell r="K43">
            <v>0.96366199840214528</v>
          </cell>
          <cell r="L43">
            <v>0.93691293828508637</v>
          </cell>
          <cell r="M43">
            <v>2.9893899696582595</v>
          </cell>
          <cell r="N43">
            <v>0.81962100512907887</v>
          </cell>
          <cell r="O43">
            <v>0.83580786239841698</v>
          </cell>
          <cell r="P43">
            <v>0.53700131780375504</v>
          </cell>
          <cell r="Q43">
            <v>1.4211433375221871</v>
          </cell>
          <cell r="R43">
            <v>0.30174031581156457</v>
          </cell>
          <cell r="S43">
            <v>0</v>
          </cell>
          <cell r="T43">
            <v>3.2741695706021376</v>
          </cell>
          <cell r="U43">
            <v>1.0573200219315844</v>
          </cell>
          <cell r="V43">
            <v>0.55725842928167391</v>
          </cell>
          <cell r="W43">
            <v>0.19381689344209999</v>
          </cell>
          <cell r="X43">
            <v>0.16258952490869102</v>
          </cell>
          <cell r="Y43">
            <v>0.42218000648275922</v>
          </cell>
          <cell r="Z43">
            <v>9.2825342345024087</v>
          </cell>
          <cell r="AA43">
            <v>876.77959183641076</v>
          </cell>
          <cell r="AB43">
            <v>0.38679848740301515</v>
          </cell>
          <cell r="AC43">
            <v>1.060946907890538</v>
          </cell>
        </row>
        <row r="44">
          <cell r="C44">
            <v>0.57951737930019764</v>
          </cell>
          <cell r="D44">
            <v>0.2994774007313995</v>
          </cell>
          <cell r="E44">
            <v>0.46974522766138765</v>
          </cell>
          <cell r="F44">
            <v>0.34480543746156073</v>
          </cell>
          <cell r="G44">
            <v>0.44223124664538965</v>
          </cell>
          <cell r="H44">
            <v>0.17651226888131571</v>
          </cell>
          <cell r="I44">
            <v>0.22602891764450916</v>
          </cell>
          <cell r="J44">
            <v>0.16475638263415704</v>
          </cell>
          <cell r="K44">
            <v>0.9570971295610412</v>
          </cell>
          <cell r="L44">
            <v>0.76348455025986328</v>
          </cell>
          <cell r="M44">
            <v>2.8088809050911054</v>
          </cell>
          <cell r="N44">
            <v>0.70167062063510732</v>
          </cell>
          <cell r="O44">
            <v>0.66474874030133158</v>
          </cell>
          <cell r="P44">
            <v>0.50093055678295362</v>
          </cell>
          <cell r="Q44">
            <v>1.1883192531360518</v>
          </cell>
          <cell r="R44">
            <v>0.3011170851707885</v>
          </cell>
          <cell r="S44">
            <v>0</v>
          </cell>
          <cell r="T44">
            <v>1.7211404833238622</v>
          </cell>
          <cell r="U44">
            <v>0.98719922863111609</v>
          </cell>
          <cell r="V44">
            <v>0.50418206405503896</v>
          </cell>
          <cell r="W44">
            <v>0.19271545620890809</v>
          </cell>
          <cell r="X44">
            <v>0.16192294231823814</v>
          </cell>
          <cell r="Y44">
            <v>0.38009861855334404</v>
          </cell>
          <cell r="Z44">
            <v>6.6175312435177561E-2</v>
          </cell>
          <cell r="AA44">
            <v>2.0861907009987304</v>
          </cell>
          <cell r="AB44">
            <v>0.36359668389659905</v>
          </cell>
          <cell r="AC44">
            <v>0.58186112833615256</v>
          </cell>
        </row>
      </sheetData>
      <sheetData sheetId="2" refreshError="1">
        <row r="40">
          <cell r="C40" t="str">
            <v>I-90</v>
          </cell>
          <cell r="D40" t="str">
            <v>I-102</v>
          </cell>
          <cell r="E40" t="str">
            <v>I-129 Forms</v>
          </cell>
          <cell r="F40" t="str">
            <v>I-129F</v>
          </cell>
          <cell r="G40" t="str">
            <v>I-130 Oth Rel</v>
          </cell>
          <cell r="H40" t="str">
            <v>I-130 Sps/Fia</v>
          </cell>
          <cell r="I40" t="str">
            <v>I-131 RP/RD</v>
          </cell>
          <cell r="J40" t="str">
            <v>I-131 Adv Parl</v>
          </cell>
          <cell r="K40" t="str">
            <v>I-140 Imm Wkr</v>
          </cell>
          <cell r="L40" t="str">
            <v>Waivers</v>
          </cell>
          <cell r="M40" t="str">
            <v>I-360s</v>
          </cell>
          <cell r="N40" t="str">
            <v>I-485 Reg</v>
          </cell>
          <cell r="O40" t="str">
            <v>I-485 Indo</v>
          </cell>
          <cell r="P40" t="str">
            <v>I-485 Ref/Adj</v>
          </cell>
          <cell r="Q40" t="str">
            <v>I-485 Asyl</v>
          </cell>
          <cell r="R40" t="str">
            <v>I-539 Forms</v>
          </cell>
          <cell r="S40" t="str">
            <v>I-600 Orphan</v>
          </cell>
          <cell r="T40" t="str">
            <v>I-687-98</v>
          </cell>
          <cell r="U40" t="str">
            <v>I-730 R/Rel</v>
          </cell>
          <cell r="V40" t="str">
            <v>I-751</v>
          </cell>
          <cell r="W40" t="str">
            <v>I-765 EAD</v>
          </cell>
          <cell r="X40" t="str">
            <v>I-821 TPS</v>
          </cell>
          <cell r="Y40" t="str">
            <v>I-824</v>
          </cell>
          <cell r="Z40" t="str">
            <v>N-400 Regular</v>
          </cell>
          <cell r="AA40" t="str">
            <v>N-400 Military</v>
          </cell>
          <cell r="AB40" t="str">
            <v>N-565</v>
          </cell>
          <cell r="AC40" t="str">
            <v>N-600/600K</v>
          </cell>
        </row>
        <row r="41">
          <cell r="C41">
            <v>0.91233496143305448</v>
          </cell>
          <cell r="D41">
            <v>0.88401972795094408</v>
          </cell>
          <cell r="E41">
            <v>0.40484572789716627</v>
          </cell>
          <cell r="F41">
            <v>2.0839339532050194</v>
          </cell>
          <cell r="G41">
            <v>0.81081855261976765</v>
          </cell>
          <cell r="H41">
            <v>0.90255681473892313</v>
          </cell>
          <cell r="I41">
            <v>1.3831539857870963</v>
          </cell>
          <cell r="J41">
            <v>0.65348117929592031</v>
          </cell>
          <cell r="K41">
            <v>1.9475205728932705</v>
          </cell>
          <cell r="L41">
            <v>1.2501705867944088</v>
          </cell>
          <cell r="M41">
            <v>1.3306651240008376</v>
          </cell>
          <cell r="N41">
            <v>1.6057042037472082</v>
          </cell>
          <cell r="O41">
            <v>1.000468570074224</v>
          </cell>
          <cell r="P41">
            <v>1.523919960348924</v>
          </cell>
          <cell r="Q41">
            <v>1.573708895935455</v>
          </cell>
          <cell r="R41">
            <v>1.3812890747278372</v>
          </cell>
          <cell r="S41">
            <v>1.5046005652798049</v>
          </cell>
          <cell r="T41">
            <v>2.0552449163314237</v>
          </cell>
          <cell r="U41">
            <v>2.3385794392015438</v>
          </cell>
          <cell r="V41">
            <v>1.7388131829829097</v>
          </cell>
          <cell r="W41">
            <v>0.5225714557734894</v>
          </cell>
          <cell r="X41">
            <v>1.5052519437534029</v>
          </cell>
          <cell r="Y41">
            <v>1.2691638585181477</v>
          </cell>
          <cell r="Z41">
            <v>1.173109638634638</v>
          </cell>
          <cell r="AA41">
            <v>1.2547240644871676</v>
          </cell>
          <cell r="AB41">
            <v>0.64523206483411766</v>
          </cell>
          <cell r="AC41">
            <v>0.86265477875394136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ion Summary"/>
      <sheetName val="IMAPS Summary"/>
      <sheetName val="Completions Summary"/>
      <sheetName val="Staffing Source Data"/>
      <sheetName val="Staffing Adjustments"/>
      <sheetName val="Staffing Summary"/>
      <sheetName val="Projected Receipts"/>
      <sheetName val="I-485 Emp Based"/>
      <sheetName val="I-485 Fam Based"/>
      <sheetName val="I-485 Cuban"/>
      <sheetName val="I-485 All Other"/>
      <sheetName val="I-485 Reg"/>
      <sheetName val="I-130 Pref Rel"/>
      <sheetName val="I-130 Imm Rel"/>
      <sheetName val="N-400 Reg"/>
      <sheetName val="N-400 Mil"/>
      <sheetName val="I-485 IndoChi"/>
      <sheetName val="I-485 Refugee"/>
      <sheetName val="I-485 Asylee"/>
      <sheetName val="I-102"/>
      <sheetName val="I-129F"/>
      <sheetName val="I-129"/>
      <sheetName val="I-131 RPRD"/>
      <sheetName val="I-131 AdvPrl"/>
      <sheetName val="I-140"/>
      <sheetName val="Waivers"/>
      <sheetName val="I-360s"/>
      <sheetName val="I-539"/>
      <sheetName val="I-600-600A"/>
      <sheetName val="I-730"/>
      <sheetName val="I-817"/>
      <sheetName val="I-765"/>
      <sheetName val="I-821"/>
      <sheetName val="I-824"/>
      <sheetName val="N-336"/>
      <sheetName val="N-565"/>
      <sheetName val="N-600-600K-643"/>
      <sheetName val="I-687 - 698"/>
      <sheetName val="I-751"/>
      <sheetName val="I-90s (all)"/>
      <sheetName val="Other Form Types"/>
      <sheetName val="Backlog Deductions"/>
      <sheetName val="Completion Rates"/>
      <sheetName val="QA"/>
      <sheetName val="PRT_Oct08"/>
      <sheetName val="I485 Employment L131E"/>
      <sheetName val="I485 Family L131F"/>
      <sheetName val="I485 Cuban L131G"/>
      <sheetName val="I485 Other L131H"/>
      <sheetName val="I130 ImmRel L134A"/>
      <sheetName val="I130 OthRel L134D"/>
      <sheetName val="N400 D and N Reco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BC PAS Summary"/>
      <sheetName val="AppsPets_NBC_Summary_Jan_2007"/>
      <sheetName val="Initial_Receipts_Jan_2007"/>
      <sheetName val="I130_Initial_Receipts_Jan_2007"/>
      <sheetName val="I485_Initial_Receipts_Jan_2007"/>
      <sheetName val="Reopen_Jan_2007"/>
      <sheetName val="I130_Reopen_Jan_2007"/>
      <sheetName val="I485_Reopen_Jan_2007"/>
      <sheetName val="Transfer_In_Jan_2007"/>
      <sheetName val="I130_Transfer_In_Jan_2007"/>
      <sheetName val="I485_Transfer_In_Jan_2007"/>
      <sheetName val="Approvals_Jan_2007"/>
      <sheetName val="I130_Approvals_Jan_2007"/>
      <sheetName val="I485_Approvals_Jan_2007"/>
      <sheetName val="Denied_Fraud_Jan_2007"/>
      <sheetName val="I130_Denied_Fraud_Jan_2007"/>
      <sheetName val="I485_Denied_Fraud_Jan_2007"/>
      <sheetName val="Denied_Other_Jan_2007"/>
      <sheetName val="I130_Denied_Other_Jan_2007"/>
      <sheetName val="I485_Denied_Other_Jan_2007"/>
      <sheetName val="Interview_Ready_Jan_2007"/>
      <sheetName val="I130_Interview_Ready_Jan_2007"/>
      <sheetName val="I485_Interview_Ready_Jan_2007"/>
      <sheetName val="Transfer_Out_Jan_2007"/>
      <sheetName val="I130_Transfer_Out_Jan_2007"/>
      <sheetName val="I485_Transfer_Out_Jan_2007"/>
      <sheetName val="CLAIMS_CPC_Jan_2007"/>
      <sheetName val="I130_CLAIMS_CPC_Jan_2007"/>
      <sheetName val="I485_CLAIMS_CPC_Jan_2007"/>
      <sheetName val="Merged_CPC_Jan_2007"/>
      <sheetName val="I130_Merged_CPC_Jan_2007"/>
      <sheetName val="I485_Merged_CPC_Jan_2007"/>
      <sheetName val="Adjustments_Jan_2007"/>
      <sheetName val="Adjustments_EZ_Gross_Jan_2007"/>
      <sheetName val="I130_Adjustments_Jan_2007"/>
      <sheetName val="I485_Adjustments_Jan_2007"/>
      <sheetName val="Rejects_Jan_2007"/>
      <sheetName val="Continued_Jan_2007"/>
      <sheetName val="I130_Continued_Jan_2007"/>
      <sheetName val="I485_Continued_Jan_2007"/>
      <sheetName val="Pending_by_FCO_Jan_2007"/>
      <sheetName val="I130_Pending_by_FCO_Jan_2007"/>
      <sheetName val="I485_Pending_by_FCO_Jan_2007"/>
      <sheetName val="I130_IntvReady_Pending_Jan_2007"/>
      <sheetName val="I485_IntvReady_Pending_Jan_2007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BC PAS Summary"/>
      <sheetName val="AppsPets_NBC_Summary_Dec_2006"/>
      <sheetName val="Initial_Receipts_Dec_2006"/>
      <sheetName val="I130_Initial_Receipts_Dec_2006"/>
      <sheetName val="I485_Initial_Receipts_Dec_2006"/>
      <sheetName val="Reopen_Dec_2006"/>
      <sheetName val="I130_Reopen_Dec_2006"/>
      <sheetName val="I485_Reopen_Dec_2006"/>
      <sheetName val="Transfer_In_Dec_2006"/>
      <sheetName val="I130_Transfer_In_Dec_2006"/>
      <sheetName val="I485_Transfer_In_Dec_2006"/>
      <sheetName val="Approvals_Dec_2006"/>
      <sheetName val="I130_Approvals_Dec_2006"/>
      <sheetName val="I485_Approvals_Dec_2006"/>
      <sheetName val="Denied_Fraud_Dec_2006"/>
      <sheetName val="I130_Denied_Fraud_Dec_2006"/>
      <sheetName val="I485_Denied_Fraud_Dec_2006"/>
      <sheetName val="Denied_Other_Dec_2006"/>
      <sheetName val="I130_Denied_Other_Dec_2006"/>
      <sheetName val="I485_Denied_Other_Dec_2006"/>
      <sheetName val="Interview_Ready_Dec_2006"/>
      <sheetName val="I130_Interview_Ready_Dec_2006"/>
      <sheetName val="I485_Interview_Ready_Dec_2006"/>
      <sheetName val="Transfer_Out_Dec_2006"/>
      <sheetName val="I130_Transfer_Out_Dec_2006"/>
      <sheetName val="I485_Transfer_Out_Dec_2006"/>
      <sheetName val="CLAIMS_CPC_Dec_2006"/>
      <sheetName val="I130_CLAIMS_CPC_Dec_2006"/>
      <sheetName val="I485_CLAIMS_CPC_Dec_2006"/>
      <sheetName val="Merged_CPC_Dec_2006"/>
      <sheetName val="I130_Merged_CPC_Dec_2006"/>
      <sheetName val="I485_Merged_CPC_Dec_2006"/>
      <sheetName val="Adjustments_Dec_2006"/>
      <sheetName val="Adjustments_EZ_Gross_Dec_2006"/>
      <sheetName val="I130_Adjustments_Dec_2006"/>
      <sheetName val="I485_Adjustments_Dec_2006"/>
      <sheetName val="Rejects_Dec_2006"/>
      <sheetName val="Continued_Dec_2006"/>
      <sheetName val="I130_Continued_Dec_2006"/>
      <sheetName val="I485_Continued_Dec_2006"/>
      <sheetName val="Pending_by_FCO_Dec_2006"/>
      <sheetName val="I130_Pending_by_FCO_Dec_2006"/>
      <sheetName val="I485_Pending_by_FCO_Dec_2006"/>
      <sheetName val="I130_IntvReady_Pending_Dec_2006"/>
      <sheetName val="I485_IntvReady_Pending_Dec_2006"/>
      <sheetName val="Field"/>
      <sheetName val="SC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485 Reg, Line 131A"/>
      <sheetName val="I130 Spouse, Line 134A"/>
      <sheetName val="I130 Oth Rel, Line 134D"/>
      <sheetName val="SCPC Summary"/>
      <sheetName val="I130_Denied_Fraud_Dec_2006"/>
      <sheetName val="I130_Interview_Ready_Dec_2006"/>
      <sheetName val="I130_IntvReady_Pending_Dec_2006"/>
      <sheetName val="I130_Merged_CPC_Dec_2006"/>
      <sheetName val="I485_Merged_CPC_Dec_2006"/>
      <sheetName val="Merged_CPC_Dec_2006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130 Spouse, Line 134A"/>
      <sheetName val="I130 Oth Rel, Line 134D"/>
      <sheetName val="SCPC Summary"/>
      <sheetName val="I130_Denied_Fraud_Nov_2006"/>
      <sheetName val="I130_Interview_Ready_Nov_2006"/>
      <sheetName val="I130_IntvReady_Pending_Nov_2006"/>
      <sheetName val="I130_Merged_CPC_Nov_2006"/>
      <sheetName val="I485_Denied_Fraud_Nov_2006"/>
      <sheetName val="I485_Merged_CPC_Nov_2006"/>
      <sheetName val="Merged_CPC_Nov_2006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D1C9-2567-427D-B821-09F8160855E9}">
  <sheetPr>
    <tabColor rgb="FF003366"/>
    <pageSetUpPr fitToPage="1"/>
  </sheetPr>
  <dimension ref="A1:N172"/>
  <sheetViews>
    <sheetView showGridLines="0" tabSelected="1" zoomScaleNormal="100" workbookViewId="0">
      <pane xSplit="2" ySplit="6" topLeftCell="C126" activePane="bottomRight" state="frozen"/>
      <selection pane="topRight" activeCell="C1" sqref="C1"/>
      <selection pane="bottomLeft" activeCell="A7" sqref="A7"/>
      <selection pane="bottomRight" activeCell="L9" sqref="L9"/>
    </sheetView>
  </sheetViews>
  <sheetFormatPr defaultColWidth="9.296875" defaultRowHeight="14.5" x14ac:dyDescent="0.35"/>
  <cols>
    <col min="1" max="1" width="27.59765625" style="64" customWidth="1"/>
    <col min="2" max="2" width="16" style="65" customWidth="1"/>
    <col min="3" max="3" width="13.3984375" style="5" customWidth="1"/>
    <col min="4" max="4" width="13.296875" style="5" customWidth="1"/>
    <col min="5" max="5" width="11.3984375" style="5" customWidth="1"/>
    <col min="6" max="6" width="11.59765625" style="5" customWidth="1"/>
    <col min="7" max="7" width="13.59765625" style="5" customWidth="1"/>
    <col min="8" max="8" width="11.69921875" style="5" customWidth="1"/>
    <col min="9" max="9" width="10.69921875" style="5" customWidth="1"/>
    <col min="10" max="10" width="10.59765625" style="5" customWidth="1"/>
    <col min="11" max="11" width="14.296875" style="5" customWidth="1"/>
    <col min="12" max="12" width="11.59765625" style="5" customWidth="1"/>
    <col min="13" max="13" width="9.69921875" style="5" customWidth="1"/>
    <col min="14" max="14" width="10.69921875" style="5" customWidth="1"/>
    <col min="15" max="16384" width="9.296875" style="5"/>
  </cols>
  <sheetData>
    <row r="1" spans="1:14" x14ac:dyDescent="0.3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x14ac:dyDescent="0.35">
      <c r="A2" s="1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spans="1:14" ht="15" thickBot="1" x14ac:dyDescent="0.4">
      <c r="A3" s="1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spans="1:14" ht="14.65" customHeight="1" x14ac:dyDescent="0.35">
      <c r="A4" s="9"/>
      <c r="B4" s="10"/>
      <c r="C4" s="66" t="s">
        <v>3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8"/>
    </row>
    <row r="5" spans="1:14" ht="15" x14ac:dyDescent="0.35">
      <c r="A5" s="69" t="s">
        <v>4</v>
      </c>
      <c r="B5" s="70"/>
      <c r="C5" s="71" t="s">
        <v>5</v>
      </c>
      <c r="D5" s="72"/>
      <c r="E5" s="72"/>
      <c r="F5" s="73"/>
      <c r="G5" s="71" t="s">
        <v>6</v>
      </c>
      <c r="H5" s="72"/>
      <c r="I5" s="72"/>
      <c r="J5" s="73"/>
      <c r="K5" s="74" t="s">
        <v>7</v>
      </c>
      <c r="L5" s="75"/>
      <c r="M5" s="75"/>
      <c r="N5" s="76"/>
    </row>
    <row r="6" spans="1:14" ht="28" x14ac:dyDescent="0.35">
      <c r="A6" s="11" t="s">
        <v>8</v>
      </c>
      <c r="B6" s="12" t="s">
        <v>9</v>
      </c>
      <c r="C6" s="13" t="s">
        <v>10</v>
      </c>
      <c r="D6" s="14" t="s">
        <v>11</v>
      </c>
      <c r="E6" s="15" t="s">
        <v>12</v>
      </c>
      <c r="F6" s="15" t="s">
        <v>13</v>
      </c>
      <c r="G6" s="13" t="s">
        <v>10</v>
      </c>
      <c r="H6" s="14" t="s">
        <v>11</v>
      </c>
      <c r="I6" s="15" t="s">
        <v>12</v>
      </c>
      <c r="J6" s="15" t="s">
        <v>13</v>
      </c>
      <c r="K6" s="13" t="s">
        <v>10</v>
      </c>
      <c r="L6" s="13" t="s">
        <v>14</v>
      </c>
      <c r="M6" s="16" t="s">
        <v>15</v>
      </c>
      <c r="N6" s="17" t="s">
        <v>16</v>
      </c>
    </row>
    <row r="7" spans="1:14" ht="20.149999999999999" customHeight="1" x14ac:dyDescent="0.35">
      <c r="A7" s="18" t="s">
        <v>17</v>
      </c>
      <c r="B7" s="19"/>
      <c r="C7" s="20">
        <v>247840</v>
      </c>
      <c r="D7" s="20">
        <v>143564</v>
      </c>
      <c r="E7" s="20">
        <v>18054</v>
      </c>
      <c r="F7" s="20">
        <v>611463</v>
      </c>
      <c r="G7" s="20">
        <v>4350</v>
      </c>
      <c r="H7" s="20">
        <v>3636</v>
      </c>
      <c r="I7" s="20">
        <v>257</v>
      </c>
      <c r="J7" s="20">
        <v>9457</v>
      </c>
      <c r="K7" s="20">
        <v>252190</v>
      </c>
      <c r="L7" s="20">
        <v>147200</v>
      </c>
      <c r="M7" s="20">
        <v>18311</v>
      </c>
      <c r="N7" s="21">
        <v>620920</v>
      </c>
    </row>
    <row r="8" spans="1:14" ht="20.149999999999999" customHeight="1" x14ac:dyDescent="0.35">
      <c r="A8" s="22" t="s">
        <v>18</v>
      </c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5"/>
    </row>
    <row r="9" spans="1:14" x14ac:dyDescent="0.35">
      <c r="A9" s="26" t="s">
        <v>19</v>
      </c>
      <c r="B9" s="27" t="s">
        <v>20</v>
      </c>
      <c r="C9" s="28">
        <v>1571</v>
      </c>
      <c r="D9" s="28">
        <v>1344</v>
      </c>
      <c r="E9" s="28">
        <v>40</v>
      </c>
      <c r="F9" s="28">
        <v>2401</v>
      </c>
      <c r="G9" s="28">
        <v>317</v>
      </c>
      <c r="H9" s="28">
        <v>317</v>
      </c>
      <c r="I9" s="28" t="s">
        <v>21</v>
      </c>
      <c r="J9" s="28">
        <v>828</v>
      </c>
      <c r="K9" s="28">
        <v>1888</v>
      </c>
      <c r="L9" s="28">
        <v>1661</v>
      </c>
      <c r="M9" s="28">
        <v>41</v>
      </c>
      <c r="N9" s="29">
        <v>3229</v>
      </c>
    </row>
    <row r="10" spans="1:14" ht="20.149999999999999" customHeight="1" x14ac:dyDescent="0.35">
      <c r="A10" s="22" t="s">
        <v>22</v>
      </c>
      <c r="B10" s="23"/>
      <c r="C10" s="30" t="s">
        <v>23</v>
      </c>
      <c r="D10" s="30" t="s">
        <v>23</v>
      </c>
      <c r="E10" s="30" t="s">
        <v>23</v>
      </c>
      <c r="F10" s="30" t="s">
        <v>23</v>
      </c>
      <c r="G10" s="30" t="s">
        <v>23</v>
      </c>
      <c r="H10" s="30" t="s">
        <v>23</v>
      </c>
      <c r="I10" s="30" t="s">
        <v>23</v>
      </c>
      <c r="J10" s="30" t="s">
        <v>23</v>
      </c>
      <c r="K10" s="30" t="s">
        <v>23</v>
      </c>
      <c r="L10" s="30" t="s">
        <v>23</v>
      </c>
      <c r="M10" s="30" t="s">
        <v>23</v>
      </c>
      <c r="N10" s="31" t="s">
        <v>23</v>
      </c>
    </row>
    <row r="11" spans="1:14" x14ac:dyDescent="0.35">
      <c r="A11" s="26" t="s">
        <v>24</v>
      </c>
      <c r="B11" s="27" t="s">
        <v>25</v>
      </c>
      <c r="C11" s="28">
        <v>388</v>
      </c>
      <c r="D11" s="28">
        <v>250</v>
      </c>
      <c r="E11" s="28">
        <v>30</v>
      </c>
      <c r="F11" s="28">
        <v>837</v>
      </c>
      <c r="G11" s="28">
        <v>12</v>
      </c>
      <c r="H11" s="28">
        <v>22</v>
      </c>
      <c r="I11" s="28" t="s">
        <v>21</v>
      </c>
      <c r="J11" s="28">
        <v>55</v>
      </c>
      <c r="K11" s="28">
        <v>400</v>
      </c>
      <c r="L11" s="28">
        <v>272</v>
      </c>
      <c r="M11" s="28">
        <v>36</v>
      </c>
      <c r="N11" s="29">
        <v>892</v>
      </c>
    </row>
    <row r="12" spans="1:14" ht="20.149999999999999" customHeight="1" x14ac:dyDescent="0.35">
      <c r="A12" s="32" t="s">
        <v>26</v>
      </c>
      <c r="B12" s="33"/>
      <c r="C12" s="30" t="s">
        <v>23</v>
      </c>
      <c r="D12" s="30" t="s">
        <v>23</v>
      </c>
      <c r="E12" s="30" t="s">
        <v>23</v>
      </c>
      <c r="F12" s="30" t="s">
        <v>23</v>
      </c>
      <c r="G12" s="30" t="s">
        <v>23</v>
      </c>
      <c r="H12" s="30" t="s">
        <v>23</v>
      </c>
      <c r="I12" s="30" t="s">
        <v>23</v>
      </c>
      <c r="J12" s="30" t="s">
        <v>23</v>
      </c>
      <c r="K12" s="30" t="s">
        <v>23</v>
      </c>
      <c r="L12" s="30" t="s">
        <v>23</v>
      </c>
      <c r="M12" s="30" t="s">
        <v>23</v>
      </c>
      <c r="N12" s="31" t="s">
        <v>23</v>
      </c>
    </row>
    <row r="13" spans="1:14" x14ac:dyDescent="0.35">
      <c r="A13" s="26" t="s">
        <v>27</v>
      </c>
      <c r="B13" s="34" t="s">
        <v>28</v>
      </c>
      <c r="C13" s="28">
        <v>3614</v>
      </c>
      <c r="D13" s="28">
        <v>2538</v>
      </c>
      <c r="E13" s="28">
        <v>224</v>
      </c>
      <c r="F13" s="28">
        <v>8932</v>
      </c>
      <c r="G13" s="28">
        <v>11</v>
      </c>
      <c r="H13" s="28" t="s">
        <v>21</v>
      </c>
      <c r="I13" s="28">
        <v>0</v>
      </c>
      <c r="J13" s="28">
        <v>56</v>
      </c>
      <c r="K13" s="28">
        <v>3625</v>
      </c>
      <c r="L13" s="28">
        <v>2544</v>
      </c>
      <c r="M13" s="28">
        <v>224</v>
      </c>
      <c r="N13" s="29">
        <v>8988</v>
      </c>
    </row>
    <row r="14" spans="1:14" x14ac:dyDescent="0.35">
      <c r="A14" s="26" t="s">
        <v>29</v>
      </c>
      <c r="B14" s="34" t="s">
        <v>30</v>
      </c>
      <c r="C14" s="28">
        <v>800</v>
      </c>
      <c r="D14" s="28">
        <v>691</v>
      </c>
      <c r="E14" s="28">
        <v>38</v>
      </c>
      <c r="F14" s="28">
        <v>1716</v>
      </c>
      <c r="G14" s="28" t="s">
        <v>21</v>
      </c>
      <c r="H14" s="28" t="s">
        <v>21</v>
      </c>
      <c r="I14" s="28">
        <v>0</v>
      </c>
      <c r="J14" s="28">
        <v>20</v>
      </c>
      <c r="K14" s="28">
        <v>803</v>
      </c>
      <c r="L14" s="28">
        <v>694</v>
      </c>
      <c r="M14" s="28">
        <v>38</v>
      </c>
      <c r="N14" s="29">
        <v>1736</v>
      </c>
    </row>
    <row r="15" spans="1:14" ht="20.149999999999999" customHeight="1" x14ac:dyDescent="0.35">
      <c r="A15" s="32" t="s">
        <v>31</v>
      </c>
      <c r="B15" s="33"/>
      <c r="C15" s="30" t="s">
        <v>23</v>
      </c>
      <c r="D15" s="30" t="s">
        <v>23</v>
      </c>
      <c r="E15" s="30" t="s">
        <v>23</v>
      </c>
      <c r="F15" s="30" t="s">
        <v>23</v>
      </c>
      <c r="G15" s="30" t="s">
        <v>23</v>
      </c>
      <c r="H15" s="30" t="s">
        <v>23</v>
      </c>
      <c r="I15" s="30" t="s">
        <v>23</v>
      </c>
      <c r="J15" s="30" t="s">
        <v>23</v>
      </c>
      <c r="K15" s="30" t="s">
        <v>23</v>
      </c>
      <c r="L15" s="30" t="s">
        <v>23</v>
      </c>
      <c r="M15" s="30" t="s">
        <v>23</v>
      </c>
      <c r="N15" s="31" t="s">
        <v>23</v>
      </c>
    </row>
    <row r="16" spans="1:14" x14ac:dyDescent="0.35">
      <c r="A16" s="26" t="s">
        <v>32</v>
      </c>
      <c r="B16" s="27" t="s">
        <v>33</v>
      </c>
      <c r="C16" s="28">
        <v>566</v>
      </c>
      <c r="D16" s="28">
        <v>277</v>
      </c>
      <c r="E16" s="28">
        <v>23</v>
      </c>
      <c r="F16" s="28">
        <v>1187</v>
      </c>
      <c r="G16" s="28" t="s">
        <v>21</v>
      </c>
      <c r="H16" s="28">
        <v>0</v>
      </c>
      <c r="I16" s="28" t="s">
        <v>21</v>
      </c>
      <c r="J16" s="28" t="s">
        <v>21</v>
      </c>
      <c r="K16" s="28">
        <v>567</v>
      </c>
      <c r="L16" s="28">
        <v>277</v>
      </c>
      <c r="M16" s="28">
        <v>24</v>
      </c>
      <c r="N16" s="29">
        <v>1191</v>
      </c>
    </row>
    <row r="17" spans="1:14" ht="20.149999999999999" customHeight="1" x14ac:dyDescent="0.35">
      <c r="A17" s="32" t="s">
        <v>34</v>
      </c>
      <c r="B17" s="33"/>
      <c r="C17" s="30" t="s">
        <v>23</v>
      </c>
      <c r="D17" s="30" t="s">
        <v>23</v>
      </c>
      <c r="E17" s="30" t="s">
        <v>23</v>
      </c>
      <c r="F17" s="30" t="s">
        <v>23</v>
      </c>
      <c r="G17" s="30" t="s">
        <v>23</v>
      </c>
      <c r="H17" s="30" t="s">
        <v>23</v>
      </c>
      <c r="I17" s="30" t="s">
        <v>23</v>
      </c>
      <c r="J17" s="30" t="s">
        <v>23</v>
      </c>
      <c r="K17" s="30" t="s">
        <v>23</v>
      </c>
      <c r="L17" s="30" t="s">
        <v>23</v>
      </c>
      <c r="M17" s="30" t="s">
        <v>23</v>
      </c>
      <c r="N17" s="31" t="s">
        <v>23</v>
      </c>
    </row>
    <row r="18" spans="1:14" x14ac:dyDescent="0.35">
      <c r="A18" s="26" t="s">
        <v>35</v>
      </c>
      <c r="B18" s="34" t="s">
        <v>36</v>
      </c>
      <c r="C18" s="28">
        <v>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9">
        <v>0</v>
      </c>
    </row>
    <row r="19" spans="1:14" x14ac:dyDescent="0.35">
      <c r="A19" s="26" t="s">
        <v>37</v>
      </c>
      <c r="B19" s="34" t="s">
        <v>38</v>
      </c>
      <c r="C19" s="28">
        <v>2757</v>
      </c>
      <c r="D19" s="28">
        <v>1333</v>
      </c>
      <c r="E19" s="28">
        <v>158</v>
      </c>
      <c r="F19" s="28">
        <v>8184</v>
      </c>
      <c r="G19" s="28" t="s">
        <v>21</v>
      </c>
      <c r="H19" s="28" t="s">
        <v>21</v>
      </c>
      <c r="I19" s="28" t="s">
        <v>21</v>
      </c>
      <c r="J19" s="28">
        <v>50</v>
      </c>
      <c r="K19" s="28">
        <v>2765</v>
      </c>
      <c r="L19" s="28">
        <v>1341</v>
      </c>
      <c r="M19" s="28">
        <v>159</v>
      </c>
      <c r="N19" s="29">
        <v>8234</v>
      </c>
    </row>
    <row r="20" spans="1:14" x14ac:dyDescent="0.35">
      <c r="A20" s="26" t="s">
        <v>39</v>
      </c>
      <c r="B20" s="34" t="s">
        <v>40</v>
      </c>
      <c r="C20" s="28">
        <v>653</v>
      </c>
      <c r="D20" s="28">
        <v>146</v>
      </c>
      <c r="E20" s="28">
        <v>89</v>
      </c>
      <c r="F20" s="28">
        <v>1689</v>
      </c>
      <c r="G20" s="28" t="s">
        <v>21</v>
      </c>
      <c r="H20" s="28" t="s">
        <v>21</v>
      </c>
      <c r="I20" s="28">
        <v>0</v>
      </c>
      <c r="J20" s="28">
        <v>10</v>
      </c>
      <c r="K20" s="28">
        <v>655</v>
      </c>
      <c r="L20" s="28">
        <v>149</v>
      </c>
      <c r="M20" s="28">
        <v>89</v>
      </c>
      <c r="N20" s="29">
        <v>1699</v>
      </c>
    </row>
    <row r="21" spans="1:14" x14ac:dyDescent="0.35">
      <c r="A21" s="26" t="s">
        <v>41</v>
      </c>
      <c r="B21" s="34" t="s">
        <v>42</v>
      </c>
      <c r="C21" s="28">
        <v>4733</v>
      </c>
      <c r="D21" s="28">
        <v>2310</v>
      </c>
      <c r="E21" s="28">
        <v>341</v>
      </c>
      <c r="F21" s="28">
        <v>10383</v>
      </c>
      <c r="G21" s="28" t="s">
        <v>21</v>
      </c>
      <c r="H21" s="28" t="s">
        <v>21</v>
      </c>
      <c r="I21" s="28" t="s">
        <v>21</v>
      </c>
      <c r="J21" s="28">
        <v>26</v>
      </c>
      <c r="K21" s="28">
        <v>4741</v>
      </c>
      <c r="L21" s="28">
        <v>2316</v>
      </c>
      <c r="M21" s="28">
        <v>342</v>
      </c>
      <c r="N21" s="29">
        <v>10409</v>
      </c>
    </row>
    <row r="22" spans="1:14" x14ac:dyDescent="0.35">
      <c r="A22" s="26" t="s">
        <v>43</v>
      </c>
      <c r="B22" s="34" t="s">
        <v>44</v>
      </c>
      <c r="C22" s="28">
        <v>5192</v>
      </c>
      <c r="D22" s="28">
        <v>2065</v>
      </c>
      <c r="E22" s="28">
        <v>396</v>
      </c>
      <c r="F22" s="28">
        <v>11698</v>
      </c>
      <c r="G22" s="28">
        <v>14</v>
      </c>
      <c r="H22" s="28" t="s">
        <v>21</v>
      </c>
      <c r="I22" s="28" t="s">
        <v>21</v>
      </c>
      <c r="J22" s="28">
        <v>46</v>
      </c>
      <c r="K22" s="28">
        <v>5206</v>
      </c>
      <c r="L22" s="28">
        <v>2069</v>
      </c>
      <c r="M22" s="28">
        <v>399</v>
      </c>
      <c r="N22" s="29">
        <v>11744</v>
      </c>
    </row>
    <row r="23" spans="1:14" x14ac:dyDescent="0.35">
      <c r="A23" s="26" t="s">
        <v>45</v>
      </c>
      <c r="B23" s="34" t="s">
        <v>46</v>
      </c>
      <c r="C23" s="28">
        <v>4055</v>
      </c>
      <c r="D23" s="28">
        <v>3150</v>
      </c>
      <c r="E23" s="28">
        <v>393</v>
      </c>
      <c r="F23" s="28">
        <v>12187</v>
      </c>
      <c r="G23" s="28">
        <v>13</v>
      </c>
      <c r="H23" s="28" t="s">
        <v>21</v>
      </c>
      <c r="I23" s="28" t="s">
        <v>21</v>
      </c>
      <c r="J23" s="28">
        <v>32</v>
      </c>
      <c r="K23" s="28">
        <v>4068</v>
      </c>
      <c r="L23" s="28">
        <v>3155</v>
      </c>
      <c r="M23" s="28">
        <v>395</v>
      </c>
      <c r="N23" s="29">
        <v>12219</v>
      </c>
    </row>
    <row r="24" spans="1:14" x14ac:dyDescent="0.35">
      <c r="A24" s="26" t="s">
        <v>47</v>
      </c>
      <c r="B24" s="34" t="s">
        <v>48</v>
      </c>
      <c r="C24" s="28">
        <v>4679</v>
      </c>
      <c r="D24" s="28">
        <v>1966</v>
      </c>
      <c r="E24" s="28">
        <v>380</v>
      </c>
      <c r="F24" s="28">
        <v>10549</v>
      </c>
      <c r="G24" s="28">
        <v>22</v>
      </c>
      <c r="H24" s="28">
        <v>25</v>
      </c>
      <c r="I24" s="28" t="s">
        <v>21</v>
      </c>
      <c r="J24" s="28">
        <v>88</v>
      </c>
      <c r="K24" s="28">
        <v>4701</v>
      </c>
      <c r="L24" s="28">
        <v>1991</v>
      </c>
      <c r="M24" s="28">
        <v>386</v>
      </c>
      <c r="N24" s="29">
        <v>10637</v>
      </c>
    </row>
    <row r="25" spans="1:14" x14ac:dyDescent="0.35">
      <c r="A25" s="26" t="s">
        <v>49</v>
      </c>
      <c r="B25" s="34" t="s">
        <v>50</v>
      </c>
      <c r="C25" s="28">
        <v>3530</v>
      </c>
      <c r="D25" s="28">
        <v>1686</v>
      </c>
      <c r="E25" s="28">
        <v>186</v>
      </c>
      <c r="F25" s="28">
        <v>9758</v>
      </c>
      <c r="G25" s="28">
        <v>103</v>
      </c>
      <c r="H25" s="28">
        <v>44</v>
      </c>
      <c r="I25" s="28" t="s">
        <v>21</v>
      </c>
      <c r="J25" s="28">
        <v>566</v>
      </c>
      <c r="K25" s="28">
        <v>3633</v>
      </c>
      <c r="L25" s="28">
        <v>1730</v>
      </c>
      <c r="M25" s="28">
        <v>193</v>
      </c>
      <c r="N25" s="29">
        <v>10324</v>
      </c>
    </row>
    <row r="26" spans="1:14" x14ac:dyDescent="0.35">
      <c r="A26" s="26" t="s">
        <v>51</v>
      </c>
      <c r="B26" s="34" t="s">
        <v>52</v>
      </c>
      <c r="C26" s="28">
        <v>3538</v>
      </c>
      <c r="D26" s="28">
        <v>1350</v>
      </c>
      <c r="E26" s="28">
        <v>195</v>
      </c>
      <c r="F26" s="28">
        <v>9961</v>
      </c>
      <c r="G26" s="28">
        <v>10</v>
      </c>
      <c r="H26" s="28">
        <v>10</v>
      </c>
      <c r="I26" s="28">
        <v>0</v>
      </c>
      <c r="J26" s="28">
        <v>49</v>
      </c>
      <c r="K26" s="28">
        <v>3548</v>
      </c>
      <c r="L26" s="28">
        <v>1360</v>
      </c>
      <c r="M26" s="28">
        <v>195</v>
      </c>
      <c r="N26" s="29">
        <v>10010</v>
      </c>
    </row>
    <row r="27" spans="1:14" x14ac:dyDescent="0.35">
      <c r="A27" s="26" t="s">
        <v>53</v>
      </c>
      <c r="B27" s="34" t="s">
        <v>54</v>
      </c>
      <c r="C27" s="28">
        <v>5364</v>
      </c>
      <c r="D27" s="28">
        <v>3383</v>
      </c>
      <c r="E27" s="28">
        <v>126</v>
      </c>
      <c r="F27" s="28">
        <v>13062</v>
      </c>
      <c r="G27" s="28">
        <v>11</v>
      </c>
      <c r="H27" s="28" t="s">
        <v>21</v>
      </c>
      <c r="I27" s="28" t="s">
        <v>21</v>
      </c>
      <c r="J27" s="28">
        <v>33</v>
      </c>
      <c r="K27" s="28">
        <v>5375</v>
      </c>
      <c r="L27" s="28">
        <v>3388</v>
      </c>
      <c r="M27" s="28">
        <v>127</v>
      </c>
      <c r="N27" s="29">
        <v>13095</v>
      </c>
    </row>
    <row r="28" spans="1:14" x14ac:dyDescent="0.35">
      <c r="A28" s="26" t="s">
        <v>55</v>
      </c>
      <c r="B28" s="34" t="s">
        <v>56</v>
      </c>
      <c r="C28" s="28">
        <v>5808</v>
      </c>
      <c r="D28" s="28">
        <v>4237</v>
      </c>
      <c r="E28" s="28">
        <v>165</v>
      </c>
      <c r="F28" s="28">
        <v>13816</v>
      </c>
      <c r="G28" s="28" t="s">
        <v>21</v>
      </c>
      <c r="H28" s="28">
        <v>21</v>
      </c>
      <c r="I28" s="28" t="s">
        <v>21</v>
      </c>
      <c r="J28" s="28">
        <v>20</v>
      </c>
      <c r="K28" s="28">
        <v>5813</v>
      </c>
      <c r="L28" s="28">
        <v>4258</v>
      </c>
      <c r="M28" s="28">
        <v>166</v>
      </c>
      <c r="N28" s="29">
        <v>13836</v>
      </c>
    </row>
    <row r="29" spans="1:14" x14ac:dyDescent="0.35">
      <c r="A29" s="26" t="s">
        <v>57</v>
      </c>
      <c r="B29" s="34" t="s">
        <v>58</v>
      </c>
      <c r="C29" s="28">
        <v>4327</v>
      </c>
      <c r="D29" s="28">
        <v>1232</v>
      </c>
      <c r="E29" s="28">
        <v>446</v>
      </c>
      <c r="F29" s="28">
        <v>11697</v>
      </c>
      <c r="G29" s="28" t="s">
        <v>21</v>
      </c>
      <c r="H29" s="28" t="s">
        <v>21</v>
      </c>
      <c r="I29" s="28" t="s">
        <v>21</v>
      </c>
      <c r="J29" s="28">
        <v>29</v>
      </c>
      <c r="K29" s="28">
        <v>4334</v>
      </c>
      <c r="L29" s="28">
        <v>1234</v>
      </c>
      <c r="M29" s="28">
        <v>450</v>
      </c>
      <c r="N29" s="29">
        <v>11726</v>
      </c>
    </row>
    <row r="30" spans="1:14" ht="20.149999999999999" customHeight="1" x14ac:dyDescent="0.35">
      <c r="A30" s="32" t="s">
        <v>59</v>
      </c>
      <c r="B30" s="33"/>
      <c r="C30" s="30" t="s">
        <v>23</v>
      </c>
      <c r="D30" s="30" t="s">
        <v>23</v>
      </c>
      <c r="E30" s="30" t="s">
        <v>23</v>
      </c>
      <c r="F30" s="30" t="s">
        <v>23</v>
      </c>
      <c r="G30" s="30" t="s">
        <v>23</v>
      </c>
      <c r="H30" s="30" t="s">
        <v>23</v>
      </c>
      <c r="I30" s="30" t="s">
        <v>23</v>
      </c>
      <c r="J30" s="30" t="s">
        <v>23</v>
      </c>
      <c r="K30" s="30" t="s">
        <v>23</v>
      </c>
      <c r="L30" s="30" t="s">
        <v>23</v>
      </c>
      <c r="M30" s="30" t="s">
        <v>23</v>
      </c>
      <c r="N30" s="31" t="s">
        <v>23</v>
      </c>
    </row>
    <row r="31" spans="1:14" x14ac:dyDescent="0.35">
      <c r="A31" s="26" t="s">
        <v>60</v>
      </c>
      <c r="B31" s="27" t="s">
        <v>61</v>
      </c>
      <c r="C31" s="28">
        <v>3302</v>
      </c>
      <c r="D31" s="28">
        <v>1371</v>
      </c>
      <c r="E31" s="28">
        <v>197</v>
      </c>
      <c r="F31" s="28">
        <v>9561</v>
      </c>
      <c r="G31" s="28">
        <v>18</v>
      </c>
      <c r="H31" s="28">
        <v>46</v>
      </c>
      <c r="I31" s="28" t="s">
        <v>21</v>
      </c>
      <c r="J31" s="28">
        <v>111</v>
      </c>
      <c r="K31" s="28">
        <v>3320</v>
      </c>
      <c r="L31" s="28">
        <v>1417</v>
      </c>
      <c r="M31" s="28">
        <v>203</v>
      </c>
      <c r="N31" s="29">
        <v>9672</v>
      </c>
    </row>
    <row r="32" spans="1:14" ht="20.149999999999999" customHeight="1" x14ac:dyDescent="0.35">
      <c r="A32" s="32" t="s">
        <v>62</v>
      </c>
      <c r="B32" s="33"/>
      <c r="C32" s="30" t="s">
        <v>23</v>
      </c>
      <c r="D32" s="30" t="s">
        <v>23</v>
      </c>
      <c r="E32" s="30" t="s">
        <v>23</v>
      </c>
      <c r="F32" s="30" t="s">
        <v>23</v>
      </c>
      <c r="G32" s="30" t="s">
        <v>23</v>
      </c>
      <c r="H32" s="30" t="s">
        <v>23</v>
      </c>
      <c r="I32" s="30" t="s">
        <v>23</v>
      </c>
      <c r="J32" s="30" t="s">
        <v>23</v>
      </c>
      <c r="K32" s="30" t="s">
        <v>23</v>
      </c>
      <c r="L32" s="30" t="s">
        <v>23</v>
      </c>
      <c r="M32" s="30" t="s">
        <v>23</v>
      </c>
      <c r="N32" s="31" t="s">
        <v>23</v>
      </c>
    </row>
    <row r="33" spans="1:14" x14ac:dyDescent="0.35">
      <c r="A33" s="26" t="s">
        <v>63</v>
      </c>
      <c r="B33" s="27" t="s">
        <v>64</v>
      </c>
      <c r="C33" s="28">
        <v>3124</v>
      </c>
      <c r="D33" s="28">
        <v>2179</v>
      </c>
      <c r="E33" s="28">
        <v>257</v>
      </c>
      <c r="F33" s="28">
        <v>7245</v>
      </c>
      <c r="G33" s="28" t="s">
        <v>21</v>
      </c>
      <c r="H33" s="28">
        <v>13</v>
      </c>
      <c r="I33" s="28">
        <v>0</v>
      </c>
      <c r="J33" s="28">
        <v>44</v>
      </c>
      <c r="K33" s="28">
        <v>3130</v>
      </c>
      <c r="L33" s="28">
        <v>2192</v>
      </c>
      <c r="M33" s="28">
        <v>257</v>
      </c>
      <c r="N33" s="29">
        <v>7289</v>
      </c>
    </row>
    <row r="34" spans="1:14" ht="20.149999999999999" customHeight="1" x14ac:dyDescent="0.35">
      <c r="A34" s="32" t="s">
        <v>65</v>
      </c>
      <c r="B34" s="33"/>
      <c r="C34" s="30" t="s">
        <v>23</v>
      </c>
      <c r="D34" s="30" t="s">
        <v>23</v>
      </c>
      <c r="E34" s="30" t="s">
        <v>23</v>
      </c>
      <c r="F34" s="30" t="s">
        <v>23</v>
      </c>
      <c r="G34" s="30" t="s">
        <v>23</v>
      </c>
      <c r="H34" s="30" t="s">
        <v>23</v>
      </c>
      <c r="I34" s="30" t="s">
        <v>23</v>
      </c>
      <c r="J34" s="30" t="s">
        <v>23</v>
      </c>
      <c r="K34" s="30" t="s">
        <v>23</v>
      </c>
      <c r="L34" s="30" t="s">
        <v>23</v>
      </c>
      <c r="M34" s="30" t="s">
        <v>23</v>
      </c>
      <c r="N34" s="31" t="s">
        <v>23</v>
      </c>
    </row>
    <row r="35" spans="1:14" x14ac:dyDescent="0.35">
      <c r="A35" s="26" t="s">
        <v>66</v>
      </c>
      <c r="B35" s="27" t="s">
        <v>67</v>
      </c>
      <c r="C35" s="28">
        <v>0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9">
        <v>0</v>
      </c>
    </row>
    <row r="36" spans="1:14" ht="20.149999999999999" customHeight="1" x14ac:dyDescent="0.35">
      <c r="A36" s="32" t="s">
        <v>68</v>
      </c>
      <c r="B36" s="33"/>
      <c r="C36" s="30" t="s">
        <v>23</v>
      </c>
      <c r="D36" s="30" t="s">
        <v>23</v>
      </c>
      <c r="E36" s="30" t="s">
        <v>23</v>
      </c>
      <c r="F36" s="30" t="s">
        <v>23</v>
      </c>
      <c r="G36" s="30" t="s">
        <v>23</v>
      </c>
      <c r="H36" s="30" t="s">
        <v>23</v>
      </c>
      <c r="I36" s="30" t="s">
        <v>23</v>
      </c>
      <c r="J36" s="30" t="s">
        <v>23</v>
      </c>
      <c r="K36" s="30" t="s">
        <v>23</v>
      </c>
      <c r="L36" s="30" t="s">
        <v>23</v>
      </c>
      <c r="M36" s="30" t="s">
        <v>23</v>
      </c>
      <c r="N36" s="31" t="s">
        <v>23</v>
      </c>
    </row>
    <row r="37" spans="1:14" x14ac:dyDescent="0.35">
      <c r="A37" s="26" t="s">
        <v>69</v>
      </c>
      <c r="B37" s="27" t="s">
        <v>70</v>
      </c>
      <c r="C37" s="28">
        <v>4520</v>
      </c>
      <c r="D37" s="28">
        <v>2937</v>
      </c>
      <c r="E37" s="28">
        <v>191</v>
      </c>
      <c r="F37" s="28">
        <v>12102</v>
      </c>
      <c r="G37" s="28">
        <v>17</v>
      </c>
      <c r="H37" s="28">
        <v>46</v>
      </c>
      <c r="I37" s="28">
        <v>10</v>
      </c>
      <c r="J37" s="28">
        <v>76</v>
      </c>
      <c r="K37" s="28">
        <v>4537</v>
      </c>
      <c r="L37" s="28">
        <v>2983</v>
      </c>
      <c r="M37" s="28">
        <v>201</v>
      </c>
      <c r="N37" s="29">
        <v>12178</v>
      </c>
    </row>
    <row r="38" spans="1:14" ht="20.149999999999999" customHeight="1" x14ac:dyDescent="0.35">
      <c r="A38" s="32" t="s">
        <v>71</v>
      </c>
      <c r="B38" s="33"/>
      <c r="C38" s="30" t="s">
        <v>23</v>
      </c>
      <c r="D38" s="30" t="s">
        <v>23</v>
      </c>
      <c r="E38" s="30" t="s">
        <v>23</v>
      </c>
      <c r="F38" s="30" t="s">
        <v>23</v>
      </c>
      <c r="G38" s="30" t="s">
        <v>23</v>
      </c>
      <c r="H38" s="30" t="s">
        <v>23</v>
      </c>
      <c r="I38" s="30" t="s">
        <v>23</v>
      </c>
      <c r="J38" s="30" t="s">
        <v>23</v>
      </c>
      <c r="K38" s="30" t="s">
        <v>23</v>
      </c>
      <c r="L38" s="30" t="s">
        <v>23</v>
      </c>
      <c r="M38" s="30" t="s">
        <v>23</v>
      </c>
      <c r="N38" s="31" t="s">
        <v>23</v>
      </c>
    </row>
    <row r="39" spans="1:14" x14ac:dyDescent="0.35">
      <c r="A39" s="26" t="s">
        <v>72</v>
      </c>
      <c r="B39" s="34" t="s">
        <v>73</v>
      </c>
      <c r="C39" s="28">
        <v>1955</v>
      </c>
      <c r="D39" s="28">
        <v>871</v>
      </c>
      <c r="E39" s="28">
        <v>142</v>
      </c>
      <c r="F39" s="28">
        <v>6026</v>
      </c>
      <c r="G39" s="28" t="s">
        <v>21</v>
      </c>
      <c r="H39" s="28" t="s">
        <v>21</v>
      </c>
      <c r="I39" s="28">
        <v>0</v>
      </c>
      <c r="J39" s="28" t="s">
        <v>21</v>
      </c>
      <c r="K39" s="28">
        <v>1958</v>
      </c>
      <c r="L39" s="28">
        <v>873</v>
      </c>
      <c r="M39" s="28">
        <v>142</v>
      </c>
      <c r="N39" s="29">
        <v>6032</v>
      </c>
    </row>
    <row r="40" spans="1:14" x14ac:dyDescent="0.35">
      <c r="A40" s="26" t="s">
        <v>74</v>
      </c>
      <c r="B40" s="34" t="s">
        <v>75</v>
      </c>
      <c r="C40" s="28">
        <v>3975</v>
      </c>
      <c r="D40" s="28">
        <v>2301</v>
      </c>
      <c r="E40" s="28">
        <v>346</v>
      </c>
      <c r="F40" s="28">
        <v>6685</v>
      </c>
      <c r="G40" s="28" t="s">
        <v>21</v>
      </c>
      <c r="H40" s="28" t="s">
        <v>21</v>
      </c>
      <c r="I40" s="28">
        <v>0</v>
      </c>
      <c r="J40" s="28" t="s">
        <v>21</v>
      </c>
      <c r="K40" s="28">
        <v>3978</v>
      </c>
      <c r="L40" s="28">
        <v>2308</v>
      </c>
      <c r="M40" s="28">
        <v>346</v>
      </c>
      <c r="N40" s="29">
        <v>6694</v>
      </c>
    </row>
    <row r="41" spans="1:14" x14ac:dyDescent="0.35">
      <c r="A41" s="26" t="s">
        <v>76</v>
      </c>
      <c r="B41" s="34" t="s">
        <v>77</v>
      </c>
      <c r="C41" s="28">
        <v>1587</v>
      </c>
      <c r="D41" s="28">
        <v>826</v>
      </c>
      <c r="E41" s="28">
        <v>72</v>
      </c>
      <c r="F41" s="28">
        <v>5479</v>
      </c>
      <c r="G41" s="28">
        <v>11</v>
      </c>
      <c r="H41" s="28">
        <v>20</v>
      </c>
      <c r="I41" s="28">
        <v>0</v>
      </c>
      <c r="J41" s="28">
        <v>33</v>
      </c>
      <c r="K41" s="28">
        <v>1598</v>
      </c>
      <c r="L41" s="28">
        <v>846</v>
      </c>
      <c r="M41" s="28">
        <v>72</v>
      </c>
      <c r="N41" s="29">
        <v>5512</v>
      </c>
    </row>
    <row r="42" spans="1:14" x14ac:dyDescent="0.35">
      <c r="A42" s="26" t="s">
        <v>78</v>
      </c>
      <c r="B42" s="34" t="s">
        <v>79</v>
      </c>
      <c r="C42" s="28">
        <v>3765</v>
      </c>
      <c r="D42" s="28">
        <v>3036</v>
      </c>
      <c r="E42" s="28">
        <v>351</v>
      </c>
      <c r="F42" s="28">
        <v>8190</v>
      </c>
      <c r="G42" s="28">
        <v>10</v>
      </c>
      <c r="H42" s="28" t="s">
        <v>21</v>
      </c>
      <c r="I42" s="28" t="s">
        <v>21</v>
      </c>
      <c r="J42" s="28">
        <v>22</v>
      </c>
      <c r="K42" s="28">
        <v>3775</v>
      </c>
      <c r="L42" s="28">
        <v>3043</v>
      </c>
      <c r="M42" s="28">
        <v>352</v>
      </c>
      <c r="N42" s="29">
        <v>8212</v>
      </c>
    </row>
    <row r="43" spans="1:14" x14ac:dyDescent="0.35">
      <c r="A43" s="26" t="s">
        <v>80</v>
      </c>
      <c r="B43" s="34" t="s">
        <v>81</v>
      </c>
      <c r="C43" s="28">
        <v>3090</v>
      </c>
      <c r="D43" s="28">
        <v>1786</v>
      </c>
      <c r="E43" s="28">
        <v>238</v>
      </c>
      <c r="F43" s="28">
        <v>6834</v>
      </c>
      <c r="G43" s="28">
        <v>10</v>
      </c>
      <c r="H43" s="28" t="s">
        <v>21</v>
      </c>
      <c r="I43" s="28" t="s">
        <v>21</v>
      </c>
      <c r="J43" s="28">
        <v>24</v>
      </c>
      <c r="K43" s="28">
        <v>3100</v>
      </c>
      <c r="L43" s="28">
        <v>1788</v>
      </c>
      <c r="M43" s="28">
        <v>240</v>
      </c>
      <c r="N43" s="29">
        <v>6858</v>
      </c>
    </row>
    <row r="44" spans="1:14" x14ac:dyDescent="0.35">
      <c r="A44" s="26" t="s">
        <v>82</v>
      </c>
      <c r="B44" s="34" t="s">
        <v>83</v>
      </c>
      <c r="C44" s="28">
        <v>2851</v>
      </c>
      <c r="D44" s="28">
        <v>1476</v>
      </c>
      <c r="E44" s="28">
        <v>282</v>
      </c>
      <c r="F44" s="28">
        <v>7202</v>
      </c>
      <c r="G44" s="28">
        <v>14</v>
      </c>
      <c r="H44" s="28" t="s">
        <v>21</v>
      </c>
      <c r="I44" s="28" t="s">
        <v>21</v>
      </c>
      <c r="J44" s="28">
        <v>47</v>
      </c>
      <c r="K44" s="28">
        <v>2865</v>
      </c>
      <c r="L44" s="28">
        <v>1483</v>
      </c>
      <c r="M44" s="28">
        <v>287</v>
      </c>
      <c r="N44" s="29">
        <v>7249</v>
      </c>
    </row>
    <row r="45" spans="1:14" x14ac:dyDescent="0.35">
      <c r="A45" s="26" t="s">
        <v>84</v>
      </c>
      <c r="B45" s="34" t="s">
        <v>85</v>
      </c>
      <c r="C45" s="28">
        <v>4478</v>
      </c>
      <c r="D45" s="28">
        <v>2007</v>
      </c>
      <c r="E45" s="28">
        <v>379</v>
      </c>
      <c r="F45" s="28">
        <v>12445</v>
      </c>
      <c r="G45" s="28" t="s">
        <v>21</v>
      </c>
      <c r="H45" s="28" t="s">
        <v>21</v>
      </c>
      <c r="I45" s="28" t="s">
        <v>21</v>
      </c>
      <c r="J45" s="28">
        <v>16</v>
      </c>
      <c r="K45" s="28">
        <v>4485</v>
      </c>
      <c r="L45" s="28">
        <v>2016</v>
      </c>
      <c r="M45" s="28">
        <v>383</v>
      </c>
      <c r="N45" s="29">
        <v>12461</v>
      </c>
    </row>
    <row r="46" spans="1:14" x14ac:dyDescent="0.35">
      <c r="A46" s="26" t="s">
        <v>86</v>
      </c>
      <c r="B46" s="34" t="s">
        <v>87</v>
      </c>
      <c r="C46" s="28">
        <v>4389</v>
      </c>
      <c r="D46" s="28">
        <v>2685</v>
      </c>
      <c r="E46" s="28">
        <v>269</v>
      </c>
      <c r="F46" s="28">
        <v>14754</v>
      </c>
      <c r="G46" s="28">
        <v>12</v>
      </c>
      <c r="H46" s="28">
        <v>11</v>
      </c>
      <c r="I46" s="28">
        <v>0</v>
      </c>
      <c r="J46" s="28">
        <v>44</v>
      </c>
      <c r="K46" s="28">
        <v>4401</v>
      </c>
      <c r="L46" s="28">
        <v>2696</v>
      </c>
      <c r="M46" s="28">
        <v>269</v>
      </c>
      <c r="N46" s="29">
        <v>14798</v>
      </c>
    </row>
    <row r="47" spans="1:14" x14ac:dyDescent="0.35">
      <c r="A47" s="26" t="s">
        <v>88</v>
      </c>
      <c r="B47" s="34" t="s">
        <v>89</v>
      </c>
      <c r="C47" s="28">
        <v>2963</v>
      </c>
      <c r="D47" s="28">
        <v>1304</v>
      </c>
      <c r="E47" s="28">
        <v>290</v>
      </c>
      <c r="F47" s="28">
        <v>8014</v>
      </c>
      <c r="G47" s="28" t="s">
        <v>21</v>
      </c>
      <c r="H47" s="28" t="s">
        <v>21</v>
      </c>
      <c r="I47" s="28" t="s">
        <v>21</v>
      </c>
      <c r="J47" s="28">
        <v>44</v>
      </c>
      <c r="K47" s="28">
        <v>2968</v>
      </c>
      <c r="L47" s="28">
        <v>1311</v>
      </c>
      <c r="M47" s="28">
        <v>293</v>
      </c>
      <c r="N47" s="29">
        <v>8058</v>
      </c>
    </row>
    <row r="48" spans="1:14" ht="20.149999999999999" customHeight="1" x14ac:dyDescent="0.35">
      <c r="A48" s="32" t="s">
        <v>90</v>
      </c>
      <c r="B48" s="33"/>
      <c r="C48" s="30" t="s">
        <v>23</v>
      </c>
      <c r="D48" s="30" t="s">
        <v>23</v>
      </c>
      <c r="E48" s="30" t="s">
        <v>23</v>
      </c>
      <c r="F48" s="30" t="s">
        <v>23</v>
      </c>
      <c r="G48" s="30" t="s">
        <v>23</v>
      </c>
      <c r="H48" s="30" t="s">
        <v>23</v>
      </c>
      <c r="I48" s="30" t="s">
        <v>23</v>
      </c>
      <c r="J48" s="30" t="s">
        <v>23</v>
      </c>
      <c r="K48" s="30" t="s">
        <v>23</v>
      </c>
      <c r="L48" s="30" t="s">
        <v>23</v>
      </c>
      <c r="M48" s="30" t="s">
        <v>23</v>
      </c>
      <c r="N48" s="31" t="s">
        <v>23</v>
      </c>
    </row>
    <row r="49" spans="1:14" x14ac:dyDescent="0.35">
      <c r="A49" s="26" t="s">
        <v>91</v>
      </c>
      <c r="B49" s="27" t="s">
        <v>92</v>
      </c>
      <c r="C49" s="28">
        <v>5496</v>
      </c>
      <c r="D49" s="28">
        <v>3862</v>
      </c>
      <c r="E49" s="28">
        <v>364</v>
      </c>
      <c r="F49" s="28">
        <v>14541</v>
      </c>
      <c r="G49" s="28">
        <v>31</v>
      </c>
      <c r="H49" s="28">
        <v>22</v>
      </c>
      <c r="I49" s="28">
        <v>13</v>
      </c>
      <c r="J49" s="28">
        <v>77</v>
      </c>
      <c r="K49" s="28">
        <v>5527</v>
      </c>
      <c r="L49" s="28">
        <v>3884</v>
      </c>
      <c r="M49" s="28">
        <v>377</v>
      </c>
      <c r="N49" s="29">
        <v>14618</v>
      </c>
    </row>
    <row r="50" spans="1:14" ht="20.149999999999999" customHeight="1" x14ac:dyDescent="0.35">
      <c r="A50" s="32" t="s">
        <v>93</v>
      </c>
      <c r="B50" s="33"/>
      <c r="C50" s="30" t="s">
        <v>23</v>
      </c>
      <c r="D50" s="30" t="s">
        <v>23</v>
      </c>
      <c r="E50" s="30" t="s">
        <v>23</v>
      </c>
      <c r="F50" s="30" t="s">
        <v>23</v>
      </c>
      <c r="G50" s="30" t="s">
        <v>23</v>
      </c>
      <c r="H50" s="30" t="s">
        <v>23</v>
      </c>
      <c r="I50" s="30" t="s">
        <v>23</v>
      </c>
      <c r="J50" s="30" t="s">
        <v>23</v>
      </c>
      <c r="K50" s="30" t="s">
        <v>23</v>
      </c>
      <c r="L50" s="30" t="s">
        <v>23</v>
      </c>
      <c r="M50" s="30" t="s">
        <v>23</v>
      </c>
      <c r="N50" s="31" t="s">
        <v>23</v>
      </c>
    </row>
    <row r="51" spans="1:14" x14ac:dyDescent="0.35">
      <c r="A51" s="26" t="s">
        <v>94</v>
      </c>
      <c r="B51" s="27" t="s">
        <v>95</v>
      </c>
      <c r="C51" s="28">
        <v>1025</v>
      </c>
      <c r="D51" s="28">
        <v>810</v>
      </c>
      <c r="E51" s="28">
        <v>45</v>
      </c>
      <c r="F51" s="28">
        <v>2951</v>
      </c>
      <c r="G51" s="28">
        <v>17</v>
      </c>
      <c r="H51" s="28">
        <v>30</v>
      </c>
      <c r="I51" s="28" t="s">
        <v>21</v>
      </c>
      <c r="J51" s="28">
        <v>138</v>
      </c>
      <c r="K51" s="28">
        <v>1042</v>
      </c>
      <c r="L51" s="28">
        <v>840</v>
      </c>
      <c r="M51" s="28">
        <v>47</v>
      </c>
      <c r="N51" s="29">
        <v>3089</v>
      </c>
    </row>
    <row r="52" spans="1:14" ht="20.149999999999999" customHeight="1" x14ac:dyDescent="0.35">
      <c r="A52" s="32" t="s">
        <v>96</v>
      </c>
      <c r="B52" s="33"/>
      <c r="C52" s="30" t="s">
        <v>23</v>
      </c>
      <c r="D52" s="30" t="s">
        <v>23</v>
      </c>
      <c r="E52" s="30" t="s">
        <v>23</v>
      </c>
      <c r="F52" s="30" t="s">
        <v>23</v>
      </c>
      <c r="G52" s="30" t="s">
        <v>23</v>
      </c>
      <c r="H52" s="30" t="s">
        <v>23</v>
      </c>
      <c r="I52" s="30" t="s">
        <v>23</v>
      </c>
      <c r="J52" s="30" t="s">
        <v>23</v>
      </c>
      <c r="K52" s="30" t="s">
        <v>23</v>
      </c>
      <c r="L52" s="30" t="s">
        <v>23</v>
      </c>
      <c r="M52" s="30" t="s">
        <v>23</v>
      </c>
      <c r="N52" s="31" t="s">
        <v>23</v>
      </c>
    </row>
    <row r="53" spans="1:14" x14ac:dyDescent="0.35">
      <c r="A53" s="26" t="s">
        <v>97</v>
      </c>
      <c r="B53" s="27" t="s">
        <v>98</v>
      </c>
      <c r="C53" s="28">
        <v>510</v>
      </c>
      <c r="D53" s="28">
        <v>258</v>
      </c>
      <c r="E53" s="28">
        <v>33</v>
      </c>
      <c r="F53" s="28">
        <v>1321</v>
      </c>
      <c r="G53" s="28" t="s">
        <v>21</v>
      </c>
      <c r="H53" s="28">
        <v>0</v>
      </c>
      <c r="I53" s="28" t="s">
        <v>21</v>
      </c>
      <c r="J53" s="28" t="s">
        <v>21</v>
      </c>
      <c r="K53" s="28">
        <v>511</v>
      </c>
      <c r="L53" s="28">
        <v>258</v>
      </c>
      <c r="M53" s="28">
        <v>34</v>
      </c>
      <c r="N53" s="29">
        <v>1325</v>
      </c>
    </row>
    <row r="54" spans="1:14" ht="20.149999999999999" customHeight="1" x14ac:dyDescent="0.35">
      <c r="A54" s="32" t="s">
        <v>99</v>
      </c>
      <c r="B54" s="33"/>
      <c r="C54" s="30" t="s">
        <v>23</v>
      </c>
      <c r="D54" s="30" t="s">
        <v>23</v>
      </c>
      <c r="E54" s="30" t="s">
        <v>23</v>
      </c>
      <c r="F54" s="30" t="s">
        <v>23</v>
      </c>
      <c r="G54" s="30" t="s">
        <v>23</v>
      </c>
      <c r="H54" s="30" t="s">
        <v>23</v>
      </c>
      <c r="I54" s="30" t="s">
        <v>23</v>
      </c>
      <c r="J54" s="30" t="s">
        <v>23</v>
      </c>
      <c r="K54" s="30" t="s">
        <v>23</v>
      </c>
      <c r="L54" s="30" t="s">
        <v>23</v>
      </c>
      <c r="M54" s="30" t="s">
        <v>23</v>
      </c>
      <c r="N54" s="31" t="s">
        <v>23</v>
      </c>
    </row>
    <row r="55" spans="1:14" x14ac:dyDescent="0.35">
      <c r="A55" s="26" t="s">
        <v>100</v>
      </c>
      <c r="B55" s="27" t="s">
        <v>101</v>
      </c>
      <c r="C55" s="28">
        <v>9726</v>
      </c>
      <c r="D55" s="28">
        <v>6667</v>
      </c>
      <c r="E55" s="28">
        <v>567</v>
      </c>
      <c r="F55" s="28">
        <v>17483</v>
      </c>
      <c r="G55" s="28">
        <v>767</v>
      </c>
      <c r="H55" s="28">
        <v>529</v>
      </c>
      <c r="I55" s="28" t="s">
        <v>21</v>
      </c>
      <c r="J55" s="28">
        <v>846</v>
      </c>
      <c r="K55" s="28">
        <v>10493</v>
      </c>
      <c r="L55" s="28">
        <v>7196</v>
      </c>
      <c r="M55" s="28">
        <v>571</v>
      </c>
      <c r="N55" s="29">
        <v>18329</v>
      </c>
    </row>
    <row r="56" spans="1:14" ht="20.149999999999999" customHeight="1" x14ac:dyDescent="0.35">
      <c r="A56" s="32" t="s">
        <v>102</v>
      </c>
      <c r="B56" s="33"/>
      <c r="C56" s="30" t="s">
        <v>23</v>
      </c>
      <c r="D56" s="30" t="s">
        <v>23</v>
      </c>
      <c r="E56" s="30" t="s">
        <v>23</v>
      </c>
      <c r="F56" s="30" t="s">
        <v>23</v>
      </c>
      <c r="G56" s="30" t="s">
        <v>23</v>
      </c>
      <c r="H56" s="30" t="s">
        <v>23</v>
      </c>
      <c r="I56" s="30" t="s">
        <v>23</v>
      </c>
      <c r="J56" s="30" t="s">
        <v>23</v>
      </c>
      <c r="K56" s="30" t="s">
        <v>23</v>
      </c>
      <c r="L56" s="30" t="s">
        <v>23</v>
      </c>
      <c r="M56" s="30" t="s">
        <v>23</v>
      </c>
      <c r="N56" s="31" t="s">
        <v>23</v>
      </c>
    </row>
    <row r="57" spans="1:14" x14ac:dyDescent="0.35">
      <c r="A57" s="26" t="s">
        <v>103</v>
      </c>
      <c r="B57" s="27" t="s">
        <v>104</v>
      </c>
      <c r="C57" s="28">
        <v>2212</v>
      </c>
      <c r="D57" s="28">
        <v>736</v>
      </c>
      <c r="E57" s="28">
        <v>138</v>
      </c>
      <c r="F57" s="28">
        <v>6641</v>
      </c>
      <c r="G57" s="28">
        <v>12</v>
      </c>
      <c r="H57" s="28" t="s">
        <v>21</v>
      </c>
      <c r="I57" s="28" t="s">
        <v>21</v>
      </c>
      <c r="J57" s="28">
        <v>49</v>
      </c>
      <c r="K57" s="28">
        <v>2224</v>
      </c>
      <c r="L57" s="28">
        <v>740</v>
      </c>
      <c r="M57" s="28">
        <v>139</v>
      </c>
      <c r="N57" s="29">
        <v>6690</v>
      </c>
    </row>
    <row r="58" spans="1:14" ht="20.149999999999999" customHeight="1" x14ac:dyDescent="0.35">
      <c r="A58" s="32" t="s">
        <v>105</v>
      </c>
      <c r="B58" s="33"/>
      <c r="C58" s="30" t="s">
        <v>23</v>
      </c>
      <c r="D58" s="30" t="s">
        <v>23</v>
      </c>
      <c r="E58" s="30" t="s">
        <v>23</v>
      </c>
      <c r="F58" s="30" t="s">
        <v>23</v>
      </c>
      <c r="G58" s="30" t="s">
        <v>23</v>
      </c>
      <c r="H58" s="30" t="s">
        <v>23</v>
      </c>
      <c r="I58" s="30" t="s">
        <v>23</v>
      </c>
      <c r="J58" s="30" t="s">
        <v>23</v>
      </c>
      <c r="K58" s="30" t="s">
        <v>23</v>
      </c>
      <c r="L58" s="30" t="s">
        <v>23</v>
      </c>
      <c r="M58" s="30" t="s">
        <v>23</v>
      </c>
      <c r="N58" s="31" t="s">
        <v>23</v>
      </c>
    </row>
    <row r="59" spans="1:14" x14ac:dyDescent="0.35">
      <c r="A59" s="26" t="s">
        <v>106</v>
      </c>
      <c r="B59" s="27" t="s">
        <v>107</v>
      </c>
      <c r="C59" s="28">
        <v>973</v>
      </c>
      <c r="D59" s="28">
        <v>630</v>
      </c>
      <c r="E59" s="28">
        <v>100</v>
      </c>
      <c r="F59" s="28">
        <v>3312</v>
      </c>
      <c r="G59" s="28" t="s">
        <v>21</v>
      </c>
      <c r="H59" s="28" t="s">
        <v>21</v>
      </c>
      <c r="I59" s="28" t="s">
        <v>21</v>
      </c>
      <c r="J59" s="28">
        <v>18</v>
      </c>
      <c r="K59" s="28">
        <v>978</v>
      </c>
      <c r="L59" s="28">
        <v>636</v>
      </c>
      <c r="M59" s="28">
        <v>101</v>
      </c>
      <c r="N59" s="29">
        <v>3330</v>
      </c>
    </row>
    <row r="60" spans="1:14" ht="20.149999999999999" customHeight="1" x14ac:dyDescent="0.35">
      <c r="A60" s="32" t="s">
        <v>108</v>
      </c>
      <c r="B60" s="33"/>
      <c r="C60" s="30" t="s">
        <v>23</v>
      </c>
      <c r="D60" s="30" t="s">
        <v>23</v>
      </c>
      <c r="E60" s="30" t="s">
        <v>23</v>
      </c>
      <c r="F60" s="30" t="s">
        <v>23</v>
      </c>
      <c r="G60" s="30" t="s">
        <v>23</v>
      </c>
      <c r="H60" s="30" t="s">
        <v>23</v>
      </c>
      <c r="I60" s="30" t="s">
        <v>23</v>
      </c>
      <c r="J60" s="30" t="s">
        <v>23</v>
      </c>
      <c r="K60" s="30" t="s">
        <v>23</v>
      </c>
      <c r="L60" s="30" t="s">
        <v>23</v>
      </c>
      <c r="M60" s="30" t="s">
        <v>23</v>
      </c>
      <c r="N60" s="31" t="s">
        <v>23</v>
      </c>
    </row>
    <row r="61" spans="1:14" x14ac:dyDescent="0.35">
      <c r="A61" s="26" t="s">
        <v>109</v>
      </c>
      <c r="B61" s="27" t="s">
        <v>110</v>
      </c>
      <c r="C61" s="28">
        <v>477</v>
      </c>
      <c r="D61" s="28">
        <v>340</v>
      </c>
      <c r="E61" s="28">
        <v>26</v>
      </c>
      <c r="F61" s="28">
        <v>1002</v>
      </c>
      <c r="G61" s="28" t="s">
        <v>21</v>
      </c>
      <c r="H61" s="28" t="s">
        <v>21</v>
      </c>
      <c r="I61" s="28">
        <v>0</v>
      </c>
      <c r="J61" s="28" t="s">
        <v>21</v>
      </c>
      <c r="K61" s="28">
        <v>479</v>
      </c>
      <c r="L61" s="28">
        <v>343</v>
      </c>
      <c r="M61" s="28">
        <v>26</v>
      </c>
      <c r="N61" s="29">
        <v>1008</v>
      </c>
    </row>
    <row r="62" spans="1:14" ht="20.149999999999999" customHeight="1" x14ac:dyDescent="0.35">
      <c r="A62" s="32" t="s">
        <v>111</v>
      </c>
      <c r="B62" s="33"/>
      <c r="C62" s="30" t="s">
        <v>23</v>
      </c>
      <c r="D62" s="30" t="s">
        <v>23</v>
      </c>
      <c r="E62" s="30" t="s">
        <v>23</v>
      </c>
      <c r="F62" s="30" t="s">
        <v>23</v>
      </c>
      <c r="G62" s="30" t="s">
        <v>23</v>
      </c>
      <c r="H62" s="30" t="s">
        <v>23</v>
      </c>
      <c r="I62" s="30" t="s">
        <v>23</v>
      </c>
      <c r="J62" s="30" t="s">
        <v>23</v>
      </c>
      <c r="K62" s="30" t="s">
        <v>23</v>
      </c>
      <c r="L62" s="30" t="s">
        <v>23</v>
      </c>
      <c r="M62" s="30" t="s">
        <v>23</v>
      </c>
      <c r="N62" s="31" t="s">
        <v>23</v>
      </c>
    </row>
    <row r="63" spans="1:14" x14ac:dyDescent="0.35">
      <c r="A63" s="26" t="s">
        <v>112</v>
      </c>
      <c r="B63" s="27" t="s">
        <v>113</v>
      </c>
      <c r="C63" s="28">
        <v>1561</v>
      </c>
      <c r="D63" s="28">
        <v>816</v>
      </c>
      <c r="E63" s="28">
        <v>212</v>
      </c>
      <c r="F63" s="28">
        <v>3450</v>
      </c>
      <c r="G63" s="28">
        <v>13</v>
      </c>
      <c r="H63" s="28">
        <v>21</v>
      </c>
      <c r="I63" s="28">
        <v>0</v>
      </c>
      <c r="J63" s="28">
        <v>50</v>
      </c>
      <c r="K63" s="28">
        <v>1574</v>
      </c>
      <c r="L63" s="28">
        <v>837</v>
      </c>
      <c r="M63" s="28">
        <v>212</v>
      </c>
      <c r="N63" s="29">
        <v>3500</v>
      </c>
    </row>
    <row r="64" spans="1:14" ht="20.149999999999999" customHeight="1" x14ac:dyDescent="0.35">
      <c r="A64" s="32" t="s">
        <v>114</v>
      </c>
      <c r="B64" s="33"/>
      <c r="C64" s="30" t="s">
        <v>23</v>
      </c>
      <c r="D64" s="30" t="s">
        <v>23</v>
      </c>
      <c r="E64" s="30" t="s">
        <v>23</v>
      </c>
      <c r="F64" s="30" t="s">
        <v>23</v>
      </c>
      <c r="G64" s="30" t="s">
        <v>23</v>
      </c>
      <c r="H64" s="30" t="s">
        <v>23</v>
      </c>
      <c r="I64" s="30" t="s">
        <v>23</v>
      </c>
      <c r="J64" s="30" t="s">
        <v>23</v>
      </c>
      <c r="K64" s="30" t="s">
        <v>23</v>
      </c>
      <c r="L64" s="30" t="s">
        <v>23</v>
      </c>
      <c r="M64" s="30" t="s">
        <v>23</v>
      </c>
      <c r="N64" s="31" t="s">
        <v>23</v>
      </c>
    </row>
    <row r="65" spans="1:14" x14ac:dyDescent="0.35">
      <c r="A65" s="26" t="s">
        <v>115</v>
      </c>
      <c r="B65" s="27" t="s">
        <v>116</v>
      </c>
      <c r="C65" s="28">
        <v>1224</v>
      </c>
      <c r="D65" s="28">
        <v>412</v>
      </c>
      <c r="E65" s="28">
        <v>102</v>
      </c>
      <c r="F65" s="28">
        <v>3440</v>
      </c>
      <c r="G65" s="28">
        <v>25</v>
      </c>
      <c r="H65" s="28">
        <v>34</v>
      </c>
      <c r="I65" s="28" t="s">
        <v>21</v>
      </c>
      <c r="J65" s="28">
        <v>74</v>
      </c>
      <c r="K65" s="28">
        <v>1249</v>
      </c>
      <c r="L65" s="28">
        <v>446</v>
      </c>
      <c r="M65" s="28">
        <v>106</v>
      </c>
      <c r="N65" s="29">
        <v>3514</v>
      </c>
    </row>
    <row r="66" spans="1:14" ht="20.149999999999999" customHeight="1" x14ac:dyDescent="0.35">
      <c r="A66" s="32" t="s">
        <v>117</v>
      </c>
      <c r="B66" s="33"/>
      <c r="C66" s="30" t="s">
        <v>23</v>
      </c>
      <c r="D66" s="30" t="s">
        <v>23</v>
      </c>
      <c r="E66" s="30" t="s">
        <v>23</v>
      </c>
      <c r="F66" s="30" t="s">
        <v>23</v>
      </c>
      <c r="G66" s="30" t="s">
        <v>23</v>
      </c>
      <c r="H66" s="30" t="s">
        <v>23</v>
      </c>
      <c r="I66" s="30" t="s">
        <v>23</v>
      </c>
      <c r="J66" s="30" t="s">
        <v>23</v>
      </c>
      <c r="K66" s="30" t="s">
        <v>23</v>
      </c>
      <c r="L66" s="30" t="s">
        <v>23</v>
      </c>
      <c r="M66" s="30" t="s">
        <v>23</v>
      </c>
      <c r="N66" s="31" t="s">
        <v>23</v>
      </c>
    </row>
    <row r="67" spans="1:14" x14ac:dyDescent="0.35">
      <c r="A67" s="26" t="s">
        <v>118</v>
      </c>
      <c r="B67" s="27" t="s">
        <v>119</v>
      </c>
      <c r="C67" s="28">
        <v>309</v>
      </c>
      <c r="D67" s="28">
        <v>268</v>
      </c>
      <c r="E67" s="28">
        <v>32</v>
      </c>
      <c r="F67" s="28">
        <v>780</v>
      </c>
      <c r="G67" s="28" t="s">
        <v>21</v>
      </c>
      <c r="H67" s="28">
        <v>0</v>
      </c>
      <c r="I67" s="28">
        <v>0</v>
      </c>
      <c r="J67" s="28">
        <v>25</v>
      </c>
      <c r="K67" s="28">
        <v>317</v>
      </c>
      <c r="L67" s="28">
        <v>268</v>
      </c>
      <c r="M67" s="28">
        <v>32</v>
      </c>
      <c r="N67" s="29">
        <v>805</v>
      </c>
    </row>
    <row r="68" spans="1:14" ht="20.149999999999999" customHeight="1" x14ac:dyDescent="0.35">
      <c r="A68" s="32" t="s">
        <v>120</v>
      </c>
      <c r="B68" s="33"/>
      <c r="C68" s="30" t="s">
        <v>23</v>
      </c>
      <c r="D68" s="30" t="s">
        <v>23</v>
      </c>
      <c r="E68" s="30" t="s">
        <v>23</v>
      </c>
      <c r="F68" s="30" t="s">
        <v>23</v>
      </c>
      <c r="G68" s="30" t="s">
        <v>23</v>
      </c>
      <c r="H68" s="30" t="s">
        <v>23</v>
      </c>
      <c r="I68" s="30" t="s">
        <v>23</v>
      </c>
      <c r="J68" s="30" t="s">
        <v>23</v>
      </c>
      <c r="K68" s="30" t="s">
        <v>23</v>
      </c>
      <c r="L68" s="30" t="s">
        <v>23</v>
      </c>
      <c r="M68" s="30" t="s">
        <v>23</v>
      </c>
      <c r="N68" s="31" t="s">
        <v>23</v>
      </c>
    </row>
    <row r="69" spans="1:14" x14ac:dyDescent="0.35">
      <c r="A69" s="26" t="s">
        <v>121</v>
      </c>
      <c r="B69" s="27" t="s">
        <v>122</v>
      </c>
      <c r="C69" s="28">
        <v>4840</v>
      </c>
      <c r="D69" s="28">
        <v>3967</v>
      </c>
      <c r="E69" s="28">
        <v>460</v>
      </c>
      <c r="F69" s="28">
        <v>11858</v>
      </c>
      <c r="G69" s="28">
        <v>39</v>
      </c>
      <c r="H69" s="28">
        <v>27</v>
      </c>
      <c r="I69" s="28">
        <v>11</v>
      </c>
      <c r="J69" s="28">
        <v>160</v>
      </c>
      <c r="K69" s="28">
        <v>4879</v>
      </c>
      <c r="L69" s="28">
        <v>3994</v>
      </c>
      <c r="M69" s="28">
        <v>471</v>
      </c>
      <c r="N69" s="29">
        <v>12018</v>
      </c>
    </row>
    <row r="70" spans="1:14" ht="20.149999999999999" customHeight="1" x14ac:dyDescent="0.35">
      <c r="A70" s="32" t="s">
        <v>123</v>
      </c>
      <c r="B70" s="33"/>
      <c r="C70" s="30" t="s">
        <v>23</v>
      </c>
      <c r="D70" s="30" t="s">
        <v>23</v>
      </c>
      <c r="E70" s="30" t="s">
        <v>23</v>
      </c>
      <c r="F70" s="30" t="s">
        <v>23</v>
      </c>
      <c r="G70" s="30" t="s">
        <v>23</v>
      </c>
      <c r="H70" s="30" t="s">
        <v>23</v>
      </c>
      <c r="I70" s="30" t="s">
        <v>23</v>
      </c>
      <c r="J70" s="30" t="s">
        <v>23</v>
      </c>
      <c r="K70" s="30" t="s">
        <v>23</v>
      </c>
      <c r="L70" s="30" t="s">
        <v>23</v>
      </c>
      <c r="M70" s="30" t="s">
        <v>23</v>
      </c>
      <c r="N70" s="31" t="s">
        <v>23</v>
      </c>
    </row>
    <row r="71" spans="1:14" x14ac:dyDescent="0.35">
      <c r="A71" s="26" t="s">
        <v>124</v>
      </c>
      <c r="B71" s="34" t="s">
        <v>125</v>
      </c>
      <c r="C71" s="28">
        <v>4455</v>
      </c>
      <c r="D71" s="28">
        <v>1511</v>
      </c>
      <c r="E71" s="28">
        <v>156</v>
      </c>
      <c r="F71" s="28">
        <v>14697</v>
      </c>
      <c r="G71" s="28">
        <v>22</v>
      </c>
      <c r="H71" s="28">
        <v>31</v>
      </c>
      <c r="I71" s="28" t="s">
        <v>21</v>
      </c>
      <c r="J71" s="28">
        <v>65</v>
      </c>
      <c r="K71" s="28">
        <v>4477</v>
      </c>
      <c r="L71" s="28">
        <v>1542</v>
      </c>
      <c r="M71" s="28">
        <v>157</v>
      </c>
      <c r="N71" s="29">
        <v>14762</v>
      </c>
    </row>
    <row r="72" spans="1:14" x14ac:dyDescent="0.35">
      <c r="A72" s="26" t="s">
        <v>126</v>
      </c>
      <c r="B72" s="34" t="s">
        <v>127</v>
      </c>
      <c r="C72" s="28">
        <v>2613</v>
      </c>
      <c r="D72" s="28">
        <v>273</v>
      </c>
      <c r="E72" s="28">
        <v>114</v>
      </c>
      <c r="F72" s="28">
        <v>13166</v>
      </c>
      <c r="G72" s="28">
        <v>12</v>
      </c>
      <c r="H72" s="28">
        <v>10</v>
      </c>
      <c r="I72" s="28" t="s">
        <v>21</v>
      </c>
      <c r="J72" s="28">
        <v>30</v>
      </c>
      <c r="K72" s="28">
        <v>2625</v>
      </c>
      <c r="L72" s="28">
        <v>283</v>
      </c>
      <c r="M72" s="28">
        <v>117</v>
      </c>
      <c r="N72" s="29">
        <v>13196</v>
      </c>
    </row>
    <row r="73" spans="1:14" ht="20.149999999999999" customHeight="1" x14ac:dyDescent="0.35">
      <c r="A73" s="32" t="s">
        <v>128</v>
      </c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6"/>
    </row>
    <row r="74" spans="1:14" x14ac:dyDescent="0.35">
      <c r="A74" s="26" t="s">
        <v>129</v>
      </c>
      <c r="B74" s="27" t="s">
        <v>130</v>
      </c>
      <c r="C74" s="28">
        <v>4547</v>
      </c>
      <c r="D74" s="28">
        <v>2178</v>
      </c>
      <c r="E74" s="28">
        <v>367</v>
      </c>
      <c r="F74" s="28">
        <v>11881</v>
      </c>
      <c r="G74" s="28" t="s">
        <v>21</v>
      </c>
      <c r="H74" s="28" t="s">
        <v>21</v>
      </c>
      <c r="I74" s="28">
        <v>0</v>
      </c>
      <c r="J74" s="28">
        <v>39</v>
      </c>
      <c r="K74" s="28">
        <v>4552</v>
      </c>
      <c r="L74" s="28">
        <v>2186</v>
      </c>
      <c r="M74" s="28">
        <v>367</v>
      </c>
      <c r="N74" s="29">
        <v>11920</v>
      </c>
    </row>
    <row r="75" spans="1:14" ht="20.149999999999999" customHeight="1" x14ac:dyDescent="0.35">
      <c r="A75" s="32" t="s">
        <v>131</v>
      </c>
      <c r="B75" s="33"/>
      <c r="C75" s="30" t="s">
        <v>23</v>
      </c>
      <c r="D75" s="30" t="s">
        <v>23</v>
      </c>
      <c r="E75" s="30" t="s">
        <v>23</v>
      </c>
      <c r="F75" s="30" t="s">
        <v>23</v>
      </c>
      <c r="G75" s="30" t="s">
        <v>23</v>
      </c>
      <c r="H75" s="30" t="s">
        <v>23</v>
      </c>
      <c r="I75" s="30" t="s">
        <v>23</v>
      </c>
      <c r="J75" s="30" t="s">
        <v>23</v>
      </c>
      <c r="K75" s="30" t="s">
        <v>23</v>
      </c>
      <c r="L75" s="30" t="s">
        <v>23</v>
      </c>
      <c r="M75" s="30" t="s">
        <v>23</v>
      </c>
      <c r="N75" s="31" t="s">
        <v>23</v>
      </c>
    </row>
    <row r="76" spans="1:14" x14ac:dyDescent="0.35">
      <c r="A76" s="26" t="s">
        <v>132</v>
      </c>
      <c r="B76" s="27" t="s">
        <v>133</v>
      </c>
      <c r="C76" s="28">
        <v>2709</v>
      </c>
      <c r="D76" s="28">
        <v>1298</v>
      </c>
      <c r="E76" s="28">
        <v>146</v>
      </c>
      <c r="F76" s="28">
        <v>8268</v>
      </c>
      <c r="G76" s="28">
        <v>17</v>
      </c>
      <c r="H76" s="28" t="s">
        <v>21</v>
      </c>
      <c r="I76" s="28" t="s">
        <v>21</v>
      </c>
      <c r="J76" s="28">
        <v>92</v>
      </c>
      <c r="K76" s="28">
        <v>2726</v>
      </c>
      <c r="L76" s="28">
        <v>1301</v>
      </c>
      <c r="M76" s="28">
        <v>151</v>
      </c>
      <c r="N76" s="29">
        <v>8360</v>
      </c>
    </row>
    <row r="77" spans="1:14" ht="20.149999999999999" customHeight="1" x14ac:dyDescent="0.35">
      <c r="A77" s="32" t="s">
        <v>134</v>
      </c>
      <c r="B77" s="33"/>
      <c r="C77" s="30" t="s">
        <v>23</v>
      </c>
      <c r="D77" s="30" t="s">
        <v>23</v>
      </c>
      <c r="E77" s="30" t="s">
        <v>23</v>
      </c>
      <c r="F77" s="30" t="s">
        <v>23</v>
      </c>
      <c r="G77" s="30" t="s">
        <v>23</v>
      </c>
      <c r="H77" s="30" t="s">
        <v>23</v>
      </c>
      <c r="I77" s="30" t="s">
        <v>23</v>
      </c>
      <c r="J77" s="30" t="s">
        <v>23</v>
      </c>
      <c r="K77" s="30" t="s">
        <v>23</v>
      </c>
      <c r="L77" s="30" t="s">
        <v>23</v>
      </c>
      <c r="M77" s="30" t="s">
        <v>23</v>
      </c>
      <c r="N77" s="31" t="s">
        <v>23</v>
      </c>
    </row>
    <row r="78" spans="1:14" x14ac:dyDescent="0.35">
      <c r="A78" s="26" t="s">
        <v>135</v>
      </c>
      <c r="B78" s="34" t="s">
        <v>136</v>
      </c>
      <c r="C78" s="28">
        <v>1424</v>
      </c>
      <c r="D78" s="28">
        <v>681</v>
      </c>
      <c r="E78" s="28">
        <v>112</v>
      </c>
      <c r="F78" s="28">
        <v>3494</v>
      </c>
      <c r="G78" s="28">
        <v>221</v>
      </c>
      <c r="H78" s="28">
        <v>89</v>
      </c>
      <c r="I78" s="28" t="s">
        <v>21</v>
      </c>
      <c r="J78" s="28">
        <v>427</v>
      </c>
      <c r="K78" s="28">
        <v>1645</v>
      </c>
      <c r="L78" s="28">
        <v>770</v>
      </c>
      <c r="M78" s="28">
        <v>115</v>
      </c>
      <c r="N78" s="29">
        <v>3921</v>
      </c>
    </row>
    <row r="79" spans="1:14" x14ac:dyDescent="0.35">
      <c r="A79" s="26" t="s">
        <v>137</v>
      </c>
      <c r="B79" s="34" t="s">
        <v>138</v>
      </c>
      <c r="C79" s="28">
        <v>1197</v>
      </c>
      <c r="D79" s="28">
        <v>985</v>
      </c>
      <c r="E79" s="28">
        <v>37</v>
      </c>
      <c r="F79" s="28">
        <v>2762</v>
      </c>
      <c r="G79" s="28" t="s">
        <v>21</v>
      </c>
      <c r="H79" s="28">
        <v>11</v>
      </c>
      <c r="I79" s="28">
        <v>0</v>
      </c>
      <c r="J79" s="28">
        <v>25</v>
      </c>
      <c r="K79" s="28">
        <v>1203</v>
      </c>
      <c r="L79" s="28">
        <v>996</v>
      </c>
      <c r="M79" s="28">
        <v>37</v>
      </c>
      <c r="N79" s="29">
        <v>2787</v>
      </c>
    </row>
    <row r="80" spans="1:14" ht="20.149999999999999" customHeight="1" x14ac:dyDescent="0.35">
      <c r="A80" s="32" t="s">
        <v>139</v>
      </c>
      <c r="B80" s="33"/>
      <c r="C80" s="30" t="s">
        <v>23</v>
      </c>
      <c r="D80" s="30" t="s">
        <v>23</v>
      </c>
      <c r="E80" s="30" t="s">
        <v>23</v>
      </c>
      <c r="F80" s="30" t="s">
        <v>23</v>
      </c>
      <c r="G80" s="30" t="s">
        <v>23</v>
      </c>
      <c r="H80" s="30" t="s">
        <v>23</v>
      </c>
      <c r="I80" s="30" t="s">
        <v>23</v>
      </c>
      <c r="J80" s="30" t="s">
        <v>23</v>
      </c>
      <c r="K80" s="30" t="s">
        <v>23</v>
      </c>
      <c r="L80" s="30" t="s">
        <v>23</v>
      </c>
      <c r="M80" s="30" t="s">
        <v>23</v>
      </c>
      <c r="N80" s="31" t="s">
        <v>23</v>
      </c>
    </row>
    <row r="81" spans="1:14" x14ac:dyDescent="0.35">
      <c r="A81" s="26" t="s">
        <v>140</v>
      </c>
      <c r="B81" s="27" t="s">
        <v>141</v>
      </c>
      <c r="C81" s="28">
        <v>117</v>
      </c>
      <c r="D81" s="28">
        <v>76</v>
      </c>
      <c r="E81" s="28" t="s">
        <v>21</v>
      </c>
      <c r="F81" s="28">
        <v>302</v>
      </c>
      <c r="G81" s="28" t="s">
        <v>21</v>
      </c>
      <c r="H81" s="28" t="s">
        <v>21</v>
      </c>
      <c r="I81" s="28">
        <v>0</v>
      </c>
      <c r="J81" s="28" t="s">
        <v>21</v>
      </c>
      <c r="K81" s="28">
        <v>118</v>
      </c>
      <c r="L81" s="28">
        <v>79</v>
      </c>
      <c r="M81" s="28" t="s">
        <v>21</v>
      </c>
      <c r="N81" s="29">
        <v>305</v>
      </c>
    </row>
    <row r="82" spans="1:14" ht="20.149999999999999" customHeight="1" x14ac:dyDescent="0.35">
      <c r="A82" s="32" t="s">
        <v>142</v>
      </c>
      <c r="B82" s="33"/>
      <c r="C82" s="30" t="s">
        <v>23</v>
      </c>
      <c r="D82" s="30" t="s">
        <v>23</v>
      </c>
      <c r="E82" s="30" t="s">
        <v>23</v>
      </c>
      <c r="F82" s="30" t="s">
        <v>23</v>
      </c>
      <c r="G82" s="30" t="s">
        <v>23</v>
      </c>
      <c r="H82" s="30" t="s">
        <v>23</v>
      </c>
      <c r="I82" s="30" t="s">
        <v>23</v>
      </c>
      <c r="J82" s="30" t="s">
        <v>23</v>
      </c>
      <c r="K82" s="30" t="s">
        <v>23</v>
      </c>
      <c r="L82" s="30" t="s">
        <v>23</v>
      </c>
      <c r="M82" s="30" t="s">
        <v>23</v>
      </c>
      <c r="N82" s="31" t="s">
        <v>23</v>
      </c>
    </row>
    <row r="83" spans="1:14" x14ac:dyDescent="0.35">
      <c r="A83" s="26" t="s">
        <v>143</v>
      </c>
      <c r="B83" s="27" t="s">
        <v>144</v>
      </c>
      <c r="C83" s="28">
        <v>1297</v>
      </c>
      <c r="D83" s="28">
        <v>531</v>
      </c>
      <c r="E83" s="28">
        <v>86</v>
      </c>
      <c r="F83" s="28">
        <v>3223</v>
      </c>
      <c r="G83" s="28" t="s">
        <v>21</v>
      </c>
      <c r="H83" s="28" t="s">
        <v>21</v>
      </c>
      <c r="I83" s="28">
        <v>0</v>
      </c>
      <c r="J83" s="28">
        <v>15</v>
      </c>
      <c r="K83" s="28">
        <v>1301</v>
      </c>
      <c r="L83" s="28">
        <v>540</v>
      </c>
      <c r="M83" s="28">
        <v>86</v>
      </c>
      <c r="N83" s="29">
        <v>3238</v>
      </c>
    </row>
    <row r="84" spans="1:14" ht="20.149999999999999" customHeight="1" x14ac:dyDescent="0.35">
      <c r="A84" s="32" t="s">
        <v>145</v>
      </c>
      <c r="B84" s="33"/>
      <c r="C84" s="30" t="s">
        <v>23</v>
      </c>
      <c r="D84" s="30" t="s">
        <v>23</v>
      </c>
      <c r="E84" s="30" t="s">
        <v>23</v>
      </c>
      <c r="F84" s="30" t="s">
        <v>23</v>
      </c>
      <c r="G84" s="30" t="s">
        <v>23</v>
      </c>
      <c r="H84" s="30" t="s">
        <v>23</v>
      </c>
      <c r="I84" s="30" t="s">
        <v>23</v>
      </c>
      <c r="J84" s="30" t="s">
        <v>23</v>
      </c>
      <c r="K84" s="30" t="s">
        <v>23</v>
      </c>
      <c r="L84" s="30" t="s">
        <v>23</v>
      </c>
      <c r="M84" s="30" t="s">
        <v>23</v>
      </c>
      <c r="N84" s="31" t="s">
        <v>23</v>
      </c>
    </row>
    <row r="85" spans="1:14" x14ac:dyDescent="0.35">
      <c r="A85" s="26" t="s">
        <v>146</v>
      </c>
      <c r="B85" s="34" t="s">
        <v>147</v>
      </c>
      <c r="C85" s="28">
        <v>2392</v>
      </c>
      <c r="D85" s="28">
        <v>807</v>
      </c>
      <c r="E85" s="28">
        <v>104</v>
      </c>
      <c r="F85" s="28">
        <v>6701</v>
      </c>
      <c r="G85" s="28" t="s">
        <v>21</v>
      </c>
      <c r="H85" s="28" t="s">
        <v>21</v>
      </c>
      <c r="I85" s="28">
        <v>0</v>
      </c>
      <c r="J85" s="28">
        <v>54</v>
      </c>
      <c r="K85" s="28">
        <v>2401</v>
      </c>
      <c r="L85" s="28">
        <v>809</v>
      </c>
      <c r="M85" s="28">
        <v>104</v>
      </c>
      <c r="N85" s="29">
        <v>6755</v>
      </c>
    </row>
    <row r="86" spans="1:14" x14ac:dyDescent="0.35">
      <c r="A86" s="26" t="s">
        <v>148</v>
      </c>
      <c r="B86" s="34" t="s">
        <v>149</v>
      </c>
      <c r="C86" s="28">
        <v>440</v>
      </c>
      <c r="D86" s="28">
        <v>393</v>
      </c>
      <c r="E86" s="28">
        <v>35</v>
      </c>
      <c r="F86" s="28">
        <v>1072</v>
      </c>
      <c r="G86" s="28" t="s">
        <v>21</v>
      </c>
      <c r="H86" s="28" t="s">
        <v>21</v>
      </c>
      <c r="I86" s="28">
        <v>0</v>
      </c>
      <c r="J86" s="28">
        <v>11</v>
      </c>
      <c r="K86" s="28">
        <v>442</v>
      </c>
      <c r="L86" s="28">
        <v>394</v>
      </c>
      <c r="M86" s="28">
        <v>35</v>
      </c>
      <c r="N86" s="29">
        <v>1083</v>
      </c>
    </row>
    <row r="87" spans="1:14" ht="20.149999999999999" customHeight="1" x14ac:dyDescent="0.35">
      <c r="A87" s="32" t="s">
        <v>150</v>
      </c>
      <c r="B87" s="33"/>
      <c r="C87" s="30" t="s">
        <v>23</v>
      </c>
      <c r="D87" s="30" t="s">
        <v>23</v>
      </c>
      <c r="E87" s="30" t="s">
        <v>23</v>
      </c>
      <c r="F87" s="30" t="s">
        <v>23</v>
      </c>
      <c r="G87" s="30" t="s">
        <v>23</v>
      </c>
      <c r="H87" s="30" t="s">
        <v>23</v>
      </c>
      <c r="I87" s="30" t="s">
        <v>23</v>
      </c>
      <c r="J87" s="30" t="s">
        <v>23</v>
      </c>
      <c r="K87" s="30" t="s">
        <v>23</v>
      </c>
      <c r="L87" s="30" t="s">
        <v>23</v>
      </c>
      <c r="M87" s="30" t="s">
        <v>23</v>
      </c>
      <c r="N87" s="31" t="s">
        <v>23</v>
      </c>
    </row>
    <row r="88" spans="1:14" x14ac:dyDescent="0.35">
      <c r="A88" s="26" t="s">
        <v>151</v>
      </c>
      <c r="B88" s="27" t="s">
        <v>152</v>
      </c>
      <c r="C88" s="28">
        <v>441</v>
      </c>
      <c r="D88" s="28">
        <v>444</v>
      </c>
      <c r="E88" s="28">
        <v>38</v>
      </c>
      <c r="F88" s="28">
        <v>997</v>
      </c>
      <c r="G88" s="28" t="s">
        <v>21</v>
      </c>
      <c r="H88" s="28" t="s">
        <v>21</v>
      </c>
      <c r="I88" s="28" t="s">
        <v>21</v>
      </c>
      <c r="J88" s="28" t="s">
        <v>21</v>
      </c>
      <c r="K88" s="28">
        <v>445</v>
      </c>
      <c r="L88" s="28">
        <v>449</v>
      </c>
      <c r="M88" s="28">
        <v>39</v>
      </c>
      <c r="N88" s="29">
        <v>1003</v>
      </c>
    </row>
    <row r="89" spans="1:14" ht="20.149999999999999" customHeight="1" x14ac:dyDescent="0.35">
      <c r="A89" s="32" t="s">
        <v>153</v>
      </c>
      <c r="B89" s="33"/>
      <c r="C89" s="30" t="s">
        <v>23</v>
      </c>
      <c r="D89" s="30" t="s">
        <v>23</v>
      </c>
      <c r="E89" s="30" t="s">
        <v>23</v>
      </c>
      <c r="F89" s="30" t="s">
        <v>23</v>
      </c>
      <c r="G89" s="30" t="s">
        <v>23</v>
      </c>
      <c r="H89" s="30" t="s">
        <v>23</v>
      </c>
      <c r="I89" s="30" t="s">
        <v>23</v>
      </c>
      <c r="J89" s="30" t="s">
        <v>23</v>
      </c>
      <c r="K89" s="30" t="s">
        <v>23</v>
      </c>
      <c r="L89" s="30" t="s">
        <v>23</v>
      </c>
      <c r="M89" s="30" t="s">
        <v>23</v>
      </c>
      <c r="N89" s="31" t="s">
        <v>23</v>
      </c>
    </row>
    <row r="90" spans="1:14" x14ac:dyDescent="0.35">
      <c r="A90" s="26" t="s">
        <v>154</v>
      </c>
      <c r="B90" s="34" t="s">
        <v>155</v>
      </c>
      <c r="C90" s="28">
        <v>2269</v>
      </c>
      <c r="D90" s="28">
        <v>1326</v>
      </c>
      <c r="E90" s="28">
        <v>318</v>
      </c>
      <c r="F90" s="28">
        <v>4486</v>
      </c>
      <c r="G90" s="28">
        <v>50</v>
      </c>
      <c r="H90" s="28">
        <v>36</v>
      </c>
      <c r="I90" s="28" t="s">
        <v>21</v>
      </c>
      <c r="J90" s="28">
        <v>39</v>
      </c>
      <c r="K90" s="28">
        <v>2319</v>
      </c>
      <c r="L90" s="28">
        <v>1362</v>
      </c>
      <c r="M90" s="28">
        <v>320</v>
      </c>
      <c r="N90" s="29">
        <v>4525</v>
      </c>
    </row>
    <row r="91" spans="1:14" x14ac:dyDescent="0.35">
      <c r="A91" s="26" t="s">
        <v>156</v>
      </c>
      <c r="B91" s="34" t="s">
        <v>157</v>
      </c>
      <c r="C91" s="28">
        <v>3616</v>
      </c>
      <c r="D91" s="28">
        <v>1692</v>
      </c>
      <c r="E91" s="28">
        <v>355</v>
      </c>
      <c r="F91" s="28">
        <v>7291</v>
      </c>
      <c r="G91" s="28" t="s">
        <v>21</v>
      </c>
      <c r="H91" s="28">
        <v>11</v>
      </c>
      <c r="I91" s="28" t="s">
        <v>21</v>
      </c>
      <c r="J91" s="28">
        <v>24</v>
      </c>
      <c r="K91" s="28">
        <v>3621</v>
      </c>
      <c r="L91" s="28">
        <v>1703</v>
      </c>
      <c r="M91" s="28">
        <v>356</v>
      </c>
      <c r="N91" s="29">
        <v>7315</v>
      </c>
    </row>
    <row r="92" spans="1:14" x14ac:dyDescent="0.35">
      <c r="A92" s="26" t="s">
        <v>158</v>
      </c>
      <c r="B92" s="34" t="s">
        <v>159</v>
      </c>
      <c r="C92" s="28">
        <v>6160</v>
      </c>
      <c r="D92" s="28">
        <v>2125</v>
      </c>
      <c r="E92" s="28">
        <v>482</v>
      </c>
      <c r="F92" s="28">
        <v>14879</v>
      </c>
      <c r="G92" s="28">
        <v>39</v>
      </c>
      <c r="H92" s="28">
        <v>21</v>
      </c>
      <c r="I92" s="28" t="s">
        <v>21</v>
      </c>
      <c r="J92" s="28">
        <v>59</v>
      </c>
      <c r="K92" s="28">
        <v>6199</v>
      </c>
      <c r="L92" s="28">
        <v>2146</v>
      </c>
      <c r="M92" s="28">
        <v>487</v>
      </c>
      <c r="N92" s="29">
        <v>14938</v>
      </c>
    </row>
    <row r="93" spans="1:14" ht="20.149999999999999" customHeight="1" x14ac:dyDescent="0.35">
      <c r="A93" s="32" t="s">
        <v>160</v>
      </c>
      <c r="B93" s="33"/>
      <c r="C93" s="30" t="s">
        <v>23</v>
      </c>
      <c r="D93" s="30" t="s">
        <v>23</v>
      </c>
      <c r="E93" s="30" t="s">
        <v>23</v>
      </c>
      <c r="F93" s="30" t="s">
        <v>23</v>
      </c>
      <c r="G93" s="30" t="s">
        <v>23</v>
      </c>
      <c r="H93" s="30" t="s">
        <v>23</v>
      </c>
      <c r="I93" s="30" t="s">
        <v>23</v>
      </c>
      <c r="J93" s="30" t="s">
        <v>23</v>
      </c>
      <c r="K93" s="30" t="s">
        <v>23</v>
      </c>
      <c r="L93" s="30" t="s">
        <v>23</v>
      </c>
      <c r="M93" s="30" t="s">
        <v>23</v>
      </c>
      <c r="N93" s="31" t="s">
        <v>23</v>
      </c>
    </row>
    <row r="94" spans="1:14" x14ac:dyDescent="0.35">
      <c r="A94" s="26" t="s">
        <v>161</v>
      </c>
      <c r="B94" s="27" t="s">
        <v>162</v>
      </c>
      <c r="C94" s="28">
        <v>606</v>
      </c>
      <c r="D94" s="28">
        <v>522</v>
      </c>
      <c r="E94" s="28">
        <v>19</v>
      </c>
      <c r="F94" s="28">
        <v>1178</v>
      </c>
      <c r="G94" s="28" t="s">
        <v>21</v>
      </c>
      <c r="H94" s="28">
        <v>0</v>
      </c>
      <c r="I94" s="28">
        <v>0</v>
      </c>
      <c r="J94" s="28">
        <v>14</v>
      </c>
      <c r="K94" s="28">
        <v>609</v>
      </c>
      <c r="L94" s="28">
        <v>522</v>
      </c>
      <c r="M94" s="28">
        <v>19</v>
      </c>
      <c r="N94" s="29">
        <v>1192</v>
      </c>
    </row>
    <row r="95" spans="1:14" ht="20.149999999999999" customHeight="1" x14ac:dyDescent="0.35">
      <c r="A95" s="32" t="s">
        <v>163</v>
      </c>
      <c r="B95" s="33"/>
      <c r="C95" s="30" t="s">
        <v>23</v>
      </c>
      <c r="D95" s="30" t="s">
        <v>23</v>
      </c>
      <c r="E95" s="30" t="s">
        <v>23</v>
      </c>
      <c r="F95" s="30" t="s">
        <v>23</v>
      </c>
      <c r="G95" s="30" t="s">
        <v>23</v>
      </c>
      <c r="H95" s="30" t="s">
        <v>23</v>
      </c>
      <c r="I95" s="30" t="s">
        <v>23</v>
      </c>
      <c r="J95" s="30" t="s">
        <v>23</v>
      </c>
      <c r="K95" s="30" t="s">
        <v>23</v>
      </c>
      <c r="L95" s="30" t="s">
        <v>23</v>
      </c>
      <c r="M95" s="30" t="s">
        <v>23</v>
      </c>
      <c r="N95" s="31" t="s">
        <v>23</v>
      </c>
    </row>
    <row r="96" spans="1:14" x14ac:dyDescent="0.35">
      <c r="A96" s="26" t="s">
        <v>164</v>
      </c>
      <c r="B96" s="34" t="s">
        <v>165</v>
      </c>
      <c r="C96" s="28">
        <v>1238</v>
      </c>
      <c r="D96" s="28">
        <v>1010</v>
      </c>
      <c r="E96" s="28">
        <v>106</v>
      </c>
      <c r="F96" s="28">
        <v>2117</v>
      </c>
      <c r="G96" s="28" t="s">
        <v>21</v>
      </c>
      <c r="H96" s="28" t="s">
        <v>21</v>
      </c>
      <c r="I96" s="28" t="s">
        <v>21</v>
      </c>
      <c r="J96" s="28">
        <v>17</v>
      </c>
      <c r="K96" s="28">
        <v>1244</v>
      </c>
      <c r="L96" s="28">
        <v>1014</v>
      </c>
      <c r="M96" s="28">
        <v>107</v>
      </c>
      <c r="N96" s="29">
        <v>2134</v>
      </c>
    </row>
    <row r="97" spans="1:14" x14ac:dyDescent="0.35">
      <c r="A97" s="26" t="s">
        <v>166</v>
      </c>
      <c r="B97" s="34" t="s">
        <v>167</v>
      </c>
      <c r="C97" s="28">
        <v>6633</v>
      </c>
      <c r="D97" s="28">
        <v>4606</v>
      </c>
      <c r="E97" s="28">
        <v>891</v>
      </c>
      <c r="F97" s="28">
        <v>16001</v>
      </c>
      <c r="G97" s="28" t="s">
        <v>21</v>
      </c>
      <c r="H97" s="28">
        <v>28</v>
      </c>
      <c r="I97" s="28" t="s">
        <v>21</v>
      </c>
      <c r="J97" s="28">
        <v>39</v>
      </c>
      <c r="K97" s="28">
        <v>6641</v>
      </c>
      <c r="L97" s="28">
        <v>4634</v>
      </c>
      <c r="M97" s="28">
        <v>894</v>
      </c>
      <c r="N97" s="29">
        <v>16040</v>
      </c>
    </row>
    <row r="98" spans="1:14" x14ac:dyDescent="0.35">
      <c r="A98" s="26" t="s">
        <v>168</v>
      </c>
      <c r="B98" s="34" t="s">
        <v>169</v>
      </c>
      <c r="C98" s="28">
        <v>1637</v>
      </c>
      <c r="D98" s="28">
        <v>889</v>
      </c>
      <c r="E98" s="28">
        <v>135</v>
      </c>
      <c r="F98" s="28">
        <v>5697</v>
      </c>
      <c r="G98" s="28">
        <v>17</v>
      </c>
      <c r="H98" s="28">
        <v>26</v>
      </c>
      <c r="I98" s="28">
        <v>0</v>
      </c>
      <c r="J98" s="28">
        <v>109</v>
      </c>
      <c r="K98" s="28">
        <v>1654</v>
      </c>
      <c r="L98" s="28">
        <v>915</v>
      </c>
      <c r="M98" s="28">
        <v>135</v>
      </c>
      <c r="N98" s="29">
        <v>5806</v>
      </c>
    </row>
    <row r="99" spans="1:14" x14ac:dyDescent="0.35">
      <c r="A99" s="26" t="s">
        <v>170</v>
      </c>
      <c r="B99" s="34" t="s">
        <v>171</v>
      </c>
      <c r="C99" s="28">
        <v>3659</v>
      </c>
      <c r="D99" s="28">
        <v>2886</v>
      </c>
      <c r="E99" s="28">
        <v>418</v>
      </c>
      <c r="F99" s="28">
        <v>8706</v>
      </c>
      <c r="G99" s="28" t="s">
        <v>21</v>
      </c>
      <c r="H99" s="28" t="s">
        <v>21</v>
      </c>
      <c r="I99" s="28" t="s">
        <v>21</v>
      </c>
      <c r="J99" s="28">
        <v>59</v>
      </c>
      <c r="K99" s="28">
        <v>3666</v>
      </c>
      <c r="L99" s="28">
        <v>2887</v>
      </c>
      <c r="M99" s="28">
        <v>419</v>
      </c>
      <c r="N99" s="29">
        <v>8765</v>
      </c>
    </row>
    <row r="100" spans="1:14" x14ac:dyDescent="0.35">
      <c r="A100" s="26" t="s">
        <v>172</v>
      </c>
      <c r="B100" s="34" t="s">
        <v>173</v>
      </c>
      <c r="C100" s="28">
        <v>7186</v>
      </c>
      <c r="D100" s="28">
        <v>5809</v>
      </c>
      <c r="E100" s="28">
        <v>795</v>
      </c>
      <c r="F100" s="28">
        <v>15755</v>
      </c>
      <c r="G100" s="28">
        <v>20</v>
      </c>
      <c r="H100" s="28">
        <v>42</v>
      </c>
      <c r="I100" s="28" t="s">
        <v>21</v>
      </c>
      <c r="J100" s="28">
        <v>27</v>
      </c>
      <c r="K100" s="28">
        <v>7206</v>
      </c>
      <c r="L100" s="28">
        <v>5851</v>
      </c>
      <c r="M100" s="28">
        <v>797</v>
      </c>
      <c r="N100" s="29">
        <v>15782</v>
      </c>
    </row>
    <row r="101" spans="1:14" x14ac:dyDescent="0.35">
      <c r="A101" s="26" t="s">
        <v>174</v>
      </c>
      <c r="B101" s="34" t="s">
        <v>175</v>
      </c>
      <c r="C101" s="28">
        <v>6188</v>
      </c>
      <c r="D101" s="28">
        <v>5347</v>
      </c>
      <c r="E101" s="28">
        <v>852</v>
      </c>
      <c r="F101" s="28">
        <v>10152</v>
      </c>
      <c r="G101" s="28">
        <v>22</v>
      </c>
      <c r="H101" s="28">
        <v>26</v>
      </c>
      <c r="I101" s="28" t="s">
        <v>21</v>
      </c>
      <c r="J101" s="28">
        <v>43</v>
      </c>
      <c r="K101" s="28">
        <v>6210</v>
      </c>
      <c r="L101" s="28">
        <v>5373</v>
      </c>
      <c r="M101" s="28">
        <v>859</v>
      </c>
      <c r="N101" s="29">
        <v>10195</v>
      </c>
    </row>
    <row r="102" spans="1:14" ht="20.149999999999999" customHeight="1" x14ac:dyDescent="0.35">
      <c r="A102" s="32" t="s">
        <v>176</v>
      </c>
      <c r="B102" s="33"/>
      <c r="C102" s="30" t="s">
        <v>23</v>
      </c>
      <c r="D102" s="30" t="s">
        <v>23</v>
      </c>
      <c r="E102" s="30" t="s">
        <v>23</v>
      </c>
      <c r="F102" s="30" t="s">
        <v>23</v>
      </c>
      <c r="G102" s="30" t="s">
        <v>23</v>
      </c>
      <c r="H102" s="30" t="s">
        <v>23</v>
      </c>
      <c r="I102" s="30" t="s">
        <v>23</v>
      </c>
      <c r="J102" s="30" t="s">
        <v>23</v>
      </c>
      <c r="K102" s="30" t="s">
        <v>23</v>
      </c>
      <c r="L102" s="30" t="s">
        <v>23</v>
      </c>
      <c r="M102" s="30" t="s">
        <v>23</v>
      </c>
      <c r="N102" s="31" t="s">
        <v>23</v>
      </c>
    </row>
    <row r="103" spans="1:14" x14ac:dyDescent="0.35">
      <c r="A103" s="26" t="s">
        <v>177</v>
      </c>
      <c r="B103" s="34" t="s">
        <v>178</v>
      </c>
      <c r="C103" s="28">
        <v>2909</v>
      </c>
      <c r="D103" s="28">
        <v>1946</v>
      </c>
      <c r="E103" s="28">
        <v>184</v>
      </c>
      <c r="F103" s="28">
        <v>6607</v>
      </c>
      <c r="G103" s="28">
        <v>13</v>
      </c>
      <c r="H103" s="28" t="s">
        <v>21</v>
      </c>
      <c r="I103" s="28">
        <v>0</v>
      </c>
      <c r="J103" s="28">
        <v>25</v>
      </c>
      <c r="K103" s="28">
        <v>2922</v>
      </c>
      <c r="L103" s="28">
        <v>1952</v>
      </c>
      <c r="M103" s="28">
        <v>184</v>
      </c>
      <c r="N103" s="29">
        <v>6632</v>
      </c>
    </row>
    <row r="104" spans="1:14" x14ac:dyDescent="0.35">
      <c r="A104" s="26" t="s">
        <v>179</v>
      </c>
      <c r="B104" s="34" t="s">
        <v>180</v>
      </c>
      <c r="C104" s="28">
        <v>2319</v>
      </c>
      <c r="D104" s="28">
        <v>997</v>
      </c>
      <c r="E104" s="28">
        <v>86</v>
      </c>
      <c r="F104" s="28">
        <v>6150</v>
      </c>
      <c r="G104" s="28">
        <v>35</v>
      </c>
      <c r="H104" s="28">
        <v>54</v>
      </c>
      <c r="I104" s="28" t="s">
        <v>21</v>
      </c>
      <c r="J104" s="28">
        <v>230</v>
      </c>
      <c r="K104" s="28">
        <v>2354</v>
      </c>
      <c r="L104" s="28">
        <v>1051</v>
      </c>
      <c r="M104" s="28">
        <v>92</v>
      </c>
      <c r="N104" s="29">
        <v>6380</v>
      </c>
    </row>
    <row r="105" spans="1:14" ht="20.149999999999999" customHeight="1" x14ac:dyDescent="0.35">
      <c r="A105" s="32" t="s">
        <v>181</v>
      </c>
      <c r="B105" s="33"/>
      <c r="C105" s="30" t="s">
        <v>23</v>
      </c>
      <c r="D105" s="30" t="s">
        <v>23</v>
      </c>
      <c r="E105" s="30" t="s">
        <v>23</v>
      </c>
      <c r="F105" s="30" t="s">
        <v>23</v>
      </c>
      <c r="G105" s="30" t="s">
        <v>23</v>
      </c>
      <c r="H105" s="30" t="s">
        <v>23</v>
      </c>
      <c r="I105" s="30" t="s">
        <v>23</v>
      </c>
      <c r="J105" s="30" t="s">
        <v>23</v>
      </c>
      <c r="K105" s="30" t="s">
        <v>23</v>
      </c>
      <c r="L105" s="30" t="s">
        <v>23</v>
      </c>
      <c r="M105" s="30" t="s">
        <v>23</v>
      </c>
      <c r="N105" s="31" t="s">
        <v>23</v>
      </c>
    </row>
    <row r="106" spans="1:14" x14ac:dyDescent="0.35">
      <c r="A106" s="26" t="s">
        <v>182</v>
      </c>
      <c r="B106" s="34" t="s">
        <v>183</v>
      </c>
      <c r="C106" s="28">
        <v>1150</v>
      </c>
      <c r="D106" s="28">
        <v>1309</v>
      </c>
      <c r="E106" s="28">
        <v>116</v>
      </c>
      <c r="F106" s="28">
        <v>1846</v>
      </c>
      <c r="G106" s="28">
        <v>16</v>
      </c>
      <c r="H106" s="28">
        <v>11</v>
      </c>
      <c r="I106" s="28" t="s">
        <v>21</v>
      </c>
      <c r="J106" s="28">
        <v>25</v>
      </c>
      <c r="K106" s="28">
        <v>1166</v>
      </c>
      <c r="L106" s="28">
        <v>1320</v>
      </c>
      <c r="M106" s="28">
        <v>120</v>
      </c>
      <c r="N106" s="29">
        <v>1871</v>
      </c>
    </row>
    <row r="107" spans="1:14" x14ac:dyDescent="0.35">
      <c r="A107" s="26" t="s">
        <v>184</v>
      </c>
      <c r="B107" s="34" t="s">
        <v>185</v>
      </c>
      <c r="C107" s="28">
        <v>1216</v>
      </c>
      <c r="D107" s="28">
        <v>848</v>
      </c>
      <c r="E107" s="28">
        <v>78</v>
      </c>
      <c r="F107" s="28">
        <v>2604</v>
      </c>
      <c r="G107" s="28">
        <v>10</v>
      </c>
      <c r="H107" s="28" t="s">
        <v>21</v>
      </c>
      <c r="I107" s="28">
        <v>0</v>
      </c>
      <c r="J107" s="28">
        <v>33</v>
      </c>
      <c r="K107" s="28">
        <v>1226</v>
      </c>
      <c r="L107" s="28">
        <v>854</v>
      </c>
      <c r="M107" s="28">
        <v>78</v>
      </c>
      <c r="N107" s="29">
        <v>2637</v>
      </c>
    </row>
    <row r="108" spans="1:14" x14ac:dyDescent="0.35">
      <c r="A108" s="26" t="s">
        <v>186</v>
      </c>
      <c r="B108" s="34" t="s">
        <v>187</v>
      </c>
      <c r="C108" s="28">
        <v>1418</v>
      </c>
      <c r="D108" s="28">
        <v>1503</v>
      </c>
      <c r="E108" s="28">
        <v>102</v>
      </c>
      <c r="F108" s="28">
        <v>3501</v>
      </c>
      <c r="G108" s="28" t="s">
        <v>21</v>
      </c>
      <c r="H108" s="28">
        <v>10</v>
      </c>
      <c r="I108" s="28" t="s">
        <v>21</v>
      </c>
      <c r="J108" s="28">
        <v>39</v>
      </c>
      <c r="K108" s="28">
        <v>1427</v>
      </c>
      <c r="L108" s="28">
        <v>1513</v>
      </c>
      <c r="M108" s="28">
        <v>104</v>
      </c>
      <c r="N108" s="29">
        <v>3540</v>
      </c>
    </row>
    <row r="109" spans="1:14" ht="20.149999999999999" customHeight="1" x14ac:dyDescent="0.35">
      <c r="A109" s="32" t="s">
        <v>188</v>
      </c>
      <c r="B109" s="33"/>
      <c r="C109" s="30" t="s">
        <v>23</v>
      </c>
      <c r="D109" s="30" t="s">
        <v>23</v>
      </c>
      <c r="E109" s="30" t="s">
        <v>23</v>
      </c>
      <c r="F109" s="30" t="s">
        <v>23</v>
      </c>
      <c r="G109" s="30" t="s">
        <v>23</v>
      </c>
      <c r="H109" s="30" t="s">
        <v>23</v>
      </c>
      <c r="I109" s="30" t="s">
        <v>23</v>
      </c>
      <c r="J109" s="30" t="s">
        <v>23</v>
      </c>
      <c r="K109" s="30" t="s">
        <v>23</v>
      </c>
      <c r="L109" s="30" t="s">
        <v>23</v>
      </c>
      <c r="M109" s="30" t="s">
        <v>23</v>
      </c>
      <c r="N109" s="31" t="s">
        <v>23</v>
      </c>
    </row>
    <row r="110" spans="1:14" x14ac:dyDescent="0.35">
      <c r="A110" s="26" t="s">
        <v>189</v>
      </c>
      <c r="B110" s="27" t="s">
        <v>190</v>
      </c>
      <c r="C110" s="28">
        <v>1761</v>
      </c>
      <c r="D110" s="28">
        <v>597</v>
      </c>
      <c r="E110" s="28">
        <v>91</v>
      </c>
      <c r="F110" s="28">
        <v>5218</v>
      </c>
      <c r="G110" s="28">
        <v>260</v>
      </c>
      <c r="H110" s="28">
        <v>173</v>
      </c>
      <c r="I110" s="28" t="s">
        <v>21</v>
      </c>
      <c r="J110" s="28">
        <v>584</v>
      </c>
      <c r="K110" s="28">
        <v>2021</v>
      </c>
      <c r="L110" s="28">
        <v>770</v>
      </c>
      <c r="M110" s="28">
        <v>92</v>
      </c>
      <c r="N110" s="29">
        <v>5802</v>
      </c>
    </row>
    <row r="111" spans="1:14" ht="20.149999999999999" customHeight="1" x14ac:dyDescent="0.35">
      <c r="A111" s="32" t="s">
        <v>191</v>
      </c>
      <c r="B111" s="33"/>
      <c r="C111" s="30" t="s">
        <v>23</v>
      </c>
      <c r="D111" s="30" t="s">
        <v>23</v>
      </c>
      <c r="E111" s="30" t="s">
        <v>23</v>
      </c>
      <c r="F111" s="30" t="s">
        <v>23</v>
      </c>
      <c r="G111" s="30" t="s">
        <v>23</v>
      </c>
      <c r="H111" s="30" t="s">
        <v>23</v>
      </c>
      <c r="I111" s="30" t="s">
        <v>23</v>
      </c>
      <c r="J111" s="30" t="s">
        <v>23</v>
      </c>
      <c r="K111" s="30" t="s">
        <v>23</v>
      </c>
      <c r="L111" s="30" t="s">
        <v>23</v>
      </c>
      <c r="M111" s="30" t="s">
        <v>23</v>
      </c>
      <c r="N111" s="31" t="s">
        <v>23</v>
      </c>
    </row>
    <row r="112" spans="1:14" x14ac:dyDescent="0.35">
      <c r="A112" s="26" t="s">
        <v>118</v>
      </c>
      <c r="B112" s="27" t="s">
        <v>192</v>
      </c>
      <c r="C112" s="28">
        <v>2496</v>
      </c>
      <c r="D112" s="28">
        <v>1298</v>
      </c>
      <c r="E112" s="28">
        <v>90</v>
      </c>
      <c r="F112" s="28">
        <v>6875</v>
      </c>
      <c r="G112" s="28" t="s">
        <v>21</v>
      </c>
      <c r="H112" s="28" t="s">
        <v>21</v>
      </c>
      <c r="I112" s="28">
        <v>0</v>
      </c>
      <c r="J112" s="28">
        <v>25</v>
      </c>
      <c r="K112" s="28">
        <v>2503</v>
      </c>
      <c r="L112" s="28">
        <v>1303</v>
      </c>
      <c r="M112" s="28">
        <v>90</v>
      </c>
      <c r="N112" s="29">
        <v>6900</v>
      </c>
    </row>
    <row r="113" spans="1:14" ht="20.149999999999999" customHeight="1" x14ac:dyDescent="0.35">
      <c r="A113" s="32" t="s">
        <v>193</v>
      </c>
      <c r="B113" s="33"/>
      <c r="C113" s="30" t="s">
        <v>23</v>
      </c>
      <c r="D113" s="30" t="s">
        <v>23</v>
      </c>
      <c r="E113" s="30" t="s">
        <v>23</v>
      </c>
      <c r="F113" s="30" t="s">
        <v>23</v>
      </c>
      <c r="G113" s="30" t="s">
        <v>23</v>
      </c>
      <c r="H113" s="30" t="s">
        <v>23</v>
      </c>
      <c r="I113" s="30" t="s">
        <v>23</v>
      </c>
      <c r="J113" s="30" t="s">
        <v>23</v>
      </c>
      <c r="K113" s="30" t="s">
        <v>23</v>
      </c>
      <c r="L113" s="30" t="s">
        <v>23</v>
      </c>
      <c r="M113" s="30" t="s">
        <v>23</v>
      </c>
      <c r="N113" s="31" t="s">
        <v>23</v>
      </c>
    </row>
    <row r="114" spans="1:14" x14ac:dyDescent="0.35">
      <c r="A114" s="26" t="s">
        <v>194</v>
      </c>
      <c r="B114" s="34" t="s">
        <v>195</v>
      </c>
      <c r="C114" s="28">
        <v>6575</v>
      </c>
      <c r="D114" s="28">
        <v>5165</v>
      </c>
      <c r="E114" s="28">
        <v>630</v>
      </c>
      <c r="F114" s="28">
        <v>13626</v>
      </c>
      <c r="G114" s="28">
        <v>12</v>
      </c>
      <c r="H114" s="28">
        <v>21</v>
      </c>
      <c r="I114" s="28" t="s">
        <v>21</v>
      </c>
      <c r="J114" s="28">
        <v>94</v>
      </c>
      <c r="K114" s="28">
        <v>6587</v>
      </c>
      <c r="L114" s="28">
        <v>5186</v>
      </c>
      <c r="M114" s="28">
        <v>632</v>
      </c>
      <c r="N114" s="29">
        <v>13720</v>
      </c>
    </row>
    <row r="115" spans="1:14" x14ac:dyDescent="0.35">
      <c r="A115" s="26" t="s">
        <v>196</v>
      </c>
      <c r="B115" s="34" t="s">
        <v>197</v>
      </c>
      <c r="C115" s="28">
        <v>766</v>
      </c>
      <c r="D115" s="28">
        <v>577</v>
      </c>
      <c r="E115" s="28">
        <v>37</v>
      </c>
      <c r="F115" s="28">
        <v>1782</v>
      </c>
      <c r="G115" s="28" t="s">
        <v>21</v>
      </c>
      <c r="H115" s="28" t="s">
        <v>21</v>
      </c>
      <c r="I115" s="28">
        <v>0</v>
      </c>
      <c r="J115" s="28">
        <v>10</v>
      </c>
      <c r="K115" s="28">
        <v>773</v>
      </c>
      <c r="L115" s="28">
        <v>582</v>
      </c>
      <c r="M115" s="28">
        <v>37</v>
      </c>
      <c r="N115" s="29">
        <v>1792</v>
      </c>
    </row>
    <row r="116" spans="1:14" ht="20.149999999999999" customHeight="1" x14ac:dyDescent="0.35">
      <c r="A116" s="32" t="s">
        <v>198</v>
      </c>
      <c r="B116" s="33"/>
      <c r="C116" s="30" t="s">
        <v>23</v>
      </c>
      <c r="D116" s="30" t="s">
        <v>23</v>
      </c>
      <c r="E116" s="30" t="s">
        <v>23</v>
      </c>
      <c r="F116" s="30" t="s">
        <v>23</v>
      </c>
      <c r="G116" s="30" t="s">
        <v>23</v>
      </c>
      <c r="H116" s="30" t="s">
        <v>23</v>
      </c>
      <c r="I116" s="30" t="s">
        <v>23</v>
      </c>
      <c r="J116" s="30" t="s">
        <v>23</v>
      </c>
      <c r="K116" s="30" t="s">
        <v>23</v>
      </c>
      <c r="L116" s="30" t="s">
        <v>23</v>
      </c>
      <c r="M116" s="30" t="s">
        <v>23</v>
      </c>
      <c r="N116" s="31" t="s">
        <v>23</v>
      </c>
    </row>
    <row r="117" spans="1:14" x14ac:dyDescent="0.35">
      <c r="A117" s="26" t="s">
        <v>199</v>
      </c>
      <c r="B117" s="27" t="s">
        <v>200</v>
      </c>
      <c r="C117" s="28">
        <v>1013</v>
      </c>
      <c r="D117" s="28">
        <v>651</v>
      </c>
      <c r="E117" s="28">
        <v>154</v>
      </c>
      <c r="F117" s="28">
        <v>2081</v>
      </c>
      <c r="G117" s="28">
        <v>11</v>
      </c>
      <c r="H117" s="28" t="s">
        <v>21</v>
      </c>
      <c r="I117" s="28" t="s">
        <v>21</v>
      </c>
      <c r="J117" s="28">
        <v>16</v>
      </c>
      <c r="K117" s="28">
        <v>1024</v>
      </c>
      <c r="L117" s="28">
        <v>657</v>
      </c>
      <c r="M117" s="28">
        <v>156</v>
      </c>
      <c r="N117" s="29">
        <v>2097</v>
      </c>
    </row>
    <row r="118" spans="1:14" ht="20.149999999999999" customHeight="1" x14ac:dyDescent="0.35">
      <c r="A118" s="32" t="s">
        <v>201</v>
      </c>
      <c r="B118" s="33"/>
      <c r="C118" s="30" t="s">
        <v>23</v>
      </c>
      <c r="D118" s="30" t="s">
        <v>23</v>
      </c>
      <c r="E118" s="30" t="s">
        <v>23</v>
      </c>
      <c r="F118" s="30" t="s">
        <v>23</v>
      </c>
      <c r="G118" s="30" t="s">
        <v>23</v>
      </c>
      <c r="H118" s="30" t="s">
        <v>23</v>
      </c>
      <c r="I118" s="30" t="s">
        <v>23</v>
      </c>
      <c r="J118" s="30" t="s">
        <v>23</v>
      </c>
      <c r="K118" s="30" t="s">
        <v>23</v>
      </c>
      <c r="L118" s="30" t="s">
        <v>23</v>
      </c>
      <c r="M118" s="30" t="s">
        <v>23</v>
      </c>
      <c r="N118" s="31" t="s">
        <v>23</v>
      </c>
    </row>
    <row r="119" spans="1:14" x14ac:dyDescent="0.35">
      <c r="A119" s="26" t="s">
        <v>202</v>
      </c>
      <c r="B119" s="34" t="s">
        <v>203</v>
      </c>
      <c r="C119" s="28">
        <v>952</v>
      </c>
      <c r="D119" s="28">
        <v>520</v>
      </c>
      <c r="E119" s="28">
        <v>82</v>
      </c>
      <c r="F119" s="28">
        <v>2041</v>
      </c>
      <c r="G119" s="28">
        <v>120</v>
      </c>
      <c r="H119" s="28">
        <v>215</v>
      </c>
      <c r="I119" s="28">
        <v>32</v>
      </c>
      <c r="J119" s="28">
        <v>278</v>
      </c>
      <c r="K119" s="28">
        <v>1072</v>
      </c>
      <c r="L119" s="28">
        <v>735</v>
      </c>
      <c r="M119" s="28">
        <v>114</v>
      </c>
      <c r="N119" s="29">
        <v>2319</v>
      </c>
    </row>
    <row r="120" spans="1:14" x14ac:dyDescent="0.35">
      <c r="A120" s="26" t="s">
        <v>204</v>
      </c>
      <c r="B120" s="34" t="s">
        <v>205</v>
      </c>
      <c r="C120" s="28">
        <v>811</v>
      </c>
      <c r="D120" s="28">
        <v>511</v>
      </c>
      <c r="E120" s="28">
        <v>47</v>
      </c>
      <c r="F120" s="28">
        <v>2139</v>
      </c>
      <c r="G120" s="28">
        <v>728</v>
      </c>
      <c r="H120" s="28">
        <v>670</v>
      </c>
      <c r="I120" s="28">
        <v>15</v>
      </c>
      <c r="J120" s="28">
        <v>738</v>
      </c>
      <c r="K120" s="28">
        <v>1539</v>
      </c>
      <c r="L120" s="28">
        <v>1181</v>
      </c>
      <c r="M120" s="28">
        <v>62</v>
      </c>
      <c r="N120" s="29">
        <v>2877</v>
      </c>
    </row>
    <row r="121" spans="1:14" ht="20.149999999999999" customHeight="1" x14ac:dyDescent="0.35">
      <c r="A121" s="32" t="s">
        <v>206</v>
      </c>
      <c r="B121" s="33"/>
      <c r="C121" s="30" t="s">
        <v>23</v>
      </c>
      <c r="D121" s="30" t="s">
        <v>23</v>
      </c>
      <c r="E121" s="30" t="s">
        <v>23</v>
      </c>
      <c r="F121" s="30" t="s">
        <v>23</v>
      </c>
      <c r="G121" s="30" t="s">
        <v>23</v>
      </c>
      <c r="H121" s="30" t="s">
        <v>23</v>
      </c>
      <c r="I121" s="30" t="s">
        <v>23</v>
      </c>
      <c r="J121" s="30" t="s">
        <v>23</v>
      </c>
      <c r="K121" s="30" t="s">
        <v>23</v>
      </c>
      <c r="L121" s="30" t="s">
        <v>23</v>
      </c>
      <c r="M121" s="30" t="s">
        <v>23</v>
      </c>
      <c r="N121" s="31" t="s">
        <v>23</v>
      </c>
    </row>
    <row r="122" spans="1:14" x14ac:dyDescent="0.35">
      <c r="A122" s="26" t="s">
        <v>207</v>
      </c>
      <c r="B122" s="34" t="s">
        <v>208</v>
      </c>
      <c r="C122" s="28">
        <v>882</v>
      </c>
      <c r="D122" s="28">
        <v>625</v>
      </c>
      <c r="E122" s="28">
        <v>89</v>
      </c>
      <c r="F122" s="28">
        <v>2061</v>
      </c>
      <c r="G122" s="28" t="s">
        <v>21</v>
      </c>
      <c r="H122" s="28">
        <v>0</v>
      </c>
      <c r="I122" s="28">
        <v>0</v>
      </c>
      <c r="J122" s="28">
        <v>27</v>
      </c>
      <c r="K122" s="28">
        <v>887</v>
      </c>
      <c r="L122" s="28">
        <v>625</v>
      </c>
      <c r="M122" s="28">
        <v>89</v>
      </c>
      <c r="N122" s="29">
        <v>2088</v>
      </c>
    </row>
    <row r="123" spans="1:14" x14ac:dyDescent="0.35">
      <c r="A123" s="26" t="s">
        <v>209</v>
      </c>
      <c r="B123" s="27" t="s">
        <v>210</v>
      </c>
      <c r="C123" s="28">
        <v>1749</v>
      </c>
      <c r="D123" s="28">
        <v>1365</v>
      </c>
      <c r="E123" s="28">
        <v>148</v>
      </c>
      <c r="F123" s="28">
        <v>5849</v>
      </c>
      <c r="G123" s="28">
        <v>22</v>
      </c>
      <c r="H123" s="28">
        <v>13</v>
      </c>
      <c r="I123" s="28" t="s">
        <v>21</v>
      </c>
      <c r="J123" s="28">
        <v>69</v>
      </c>
      <c r="K123" s="28">
        <v>1771</v>
      </c>
      <c r="L123" s="28">
        <v>1378</v>
      </c>
      <c r="M123" s="28">
        <v>150</v>
      </c>
      <c r="N123" s="29">
        <v>5918</v>
      </c>
    </row>
    <row r="124" spans="1:14" ht="20.149999999999999" customHeight="1" x14ac:dyDescent="0.35">
      <c r="A124" s="32" t="s">
        <v>211</v>
      </c>
      <c r="B124" s="33"/>
      <c r="C124" s="30" t="s">
        <v>23</v>
      </c>
      <c r="D124" s="30" t="s">
        <v>23</v>
      </c>
      <c r="E124" s="30" t="s">
        <v>23</v>
      </c>
      <c r="F124" s="30" t="s">
        <v>23</v>
      </c>
      <c r="G124" s="30" t="s">
        <v>23</v>
      </c>
      <c r="H124" s="30" t="s">
        <v>23</v>
      </c>
      <c r="I124" s="30" t="s">
        <v>23</v>
      </c>
      <c r="J124" s="30" t="s">
        <v>23</v>
      </c>
      <c r="K124" s="30" t="s">
        <v>23</v>
      </c>
      <c r="L124" s="30" t="s">
        <v>23</v>
      </c>
      <c r="M124" s="30" t="s">
        <v>23</v>
      </c>
      <c r="N124" s="31" t="s">
        <v>23</v>
      </c>
    </row>
    <row r="125" spans="1:14" x14ac:dyDescent="0.35">
      <c r="A125" s="26" t="s">
        <v>212</v>
      </c>
      <c r="B125" s="34" t="s">
        <v>213</v>
      </c>
      <c r="C125" s="28">
        <v>9180</v>
      </c>
      <c r="D125" s="28">
        <v>3336</v>
      </c>
      <c r="E125" s="28">
        <v>430</v>
      </c>
      <c r="F125" s="28">
        <v>21937</v>
      </c>
      <c r="G125" s="28">
        <v>50</v>
      </c>
      <c r="H125" s="28">
        <v>14</v>
      </c>
      <c r="I125" s="28" t="s">
        <v>21</v>
      </c>
      <c r="J125" s="28">
        <v>198</v>
      </c>
      <c r="K125" s="28">
        <v>9230</v>
      </c>
      <c r="L125" s="28">
        <v>3350</v>
      </c>
      <c r="M125" s="28">
        <v>431</v>
      </c>
      <c r="N125" s="29">
        <v>22135</v>
      </c>
    </row>
    <row r="126" spans="1:14" x14ac:dyDescent="0.35">
      <c r="A126" s="26" t="s">
        <v>214</v>
      </c>
      <c r="B126" s="34" t="s">
        <v>215</v>
      </c>
      <c r="C126" s="28">
        <v>2304</v>
      </c>
      <c r="D126" s="28">
        <v>1385</v>
      </c>
      <c r="E126" s="28">
        <v>129</v>
      </c>
      <c r="F126" s="28">
        <v>4377</v>
      </c>
      <c r="G126" s="28">
        <v>27</v>
      </c>
      <c r="H126" s="28">
        <v>45</v>
      </c>
      <c r="I126" s="28" t="s">
        <v>21</v>
      </c>
      <c r="J126" s="28">
        <v>237</v>
      </c>
      <c r="K126" s="28">
        <v>2331</v>
      </c>
      <c r="L126" s="28">
        <v>1430</v>
      </c>
      <c r="M126" s="28">
        <v>132</v>
      </c>
      <c r="N126" s="29">
        <v>4614</v>
      </c>
    </row>
    <row r="127" spans="1:14" x14ac:dyDescent="0.35">
      <c r="A127" s="26" t="s">
        <v>216</v>
      </c>
      <c r="B127" s="34" t="s">
        <v>217</v>
      </c>
      <c r="C127" s="28">
        <v>1542</v>
      </c>
      <c r="D127" s="28">
        <v>1115</v>
      </c>
      <c r="E127" s="28">
        <v>72</v>
      </c>
      <c r="F127" s="28">
        <v>2570</v>
      </c>
      <c r="G127" s="28" t="s">
        <v>21</v>
      </c>
      <c r="H127" s="28" t="s">
        <v>21</v>
      </c>
      <c r="I127" s="28">
        <v>0</v>
      </c>
      <c r="J127" s="28">
        <v>19</v>
      </c>
      <c r="K127" s="28">
        <v>1546</v>
      </c>
      <c r="L127" s="28">
        <v>1124</v>
      </c>
      <c r="M127" s="28">
        <v>72</v>
      </c>
      <c r="N127" s="29">
        <v>2589</v>
      </c>
    </row>
    <row r="128" spans="1:14" x14ac:dyDescent="0.35">
      <c r="A128" s="26" t="s">
        <v>218</v>
      </c>
      <c r="B128" s="34" t="s">
        <v>219</v>
      </c>
      <c r="C128" s="28">
        <v>10383</v>
      </c>
      <c r="D128" s="28">
        <v>4182</v>
      </c>
      <c r="E128" s="28">
        <v>533</v>
      </c>
      <c r="F128" s="28">
        <v>27330</v>
      </c>
      <c r="G128" s="28">
        <v>26</v>
      </c>
      <c r="H128" s="28">
        <v>23</v>
      </c>
      <c r="I128" s="28" t="s">
        <v>21</v>
      </c>
      <c r="J128" s="28">
        <v>95</v>
      </c>
      <c r="K128" s="28">
        <v>10409</v>
      </c>
      <c r="L128" s="28">
        <v>4205</v>
      </c>
      <c r="M128" s="28">
        <v>536</v>
      </c>
      <c r="N128" s="29">
        <v>27425</v>
      </c>
    </row>
    <row r="129" spans="1:14" x14ac:dyDescent="0.35">
      <c r="A129" s="26" t="s">
        <v>220</v>
      </c>
      <c r="B129" s="34" t="s">
        <v>221</v>
      </c>
      <c r="C129" s="28">
        <v>5748</v>
      </c>
      <c r="D129" s="28">
        <v>2757</v>
      </c>
      <c r="E129" s="28">
        <v>273</v>
      </c>
      <c r="F129" s="28">
        <v>13148</v>
      </c>
      <c r="G129" s="28">
        <v>642</v>
      </c>
      <c r="H129" s="28">
        <v>483</v>
      </c>
      <c r="I129" s="28">
        <v>13</v>
      </c>
      <c r="J129" s="28">
        <v>857</v>
      </c>
      <c r="K129" s="28">
        <v>6390</v>
      </c>
      <c r="L129" s="28">
        <v>3240</v>
      </c>
      <c r="M129" s="28">
        <v>286</v>
      </c>
      <c r="N129" s="29">
        <v>14005</v>
      </c>
    </row>
    <row r="130" spans="1:14" ht="20.149999999999999" customHeight="1" x14ac:dyDescent="0.35">
      <c r="A130" s="32" t="s">
        <v>222</v>
      </c>
      <c r="B130" s="33"/>
      <c r="C130" s="30" t="s">
        <v>23</v>
      </c>
      <c r="D130" s="30" t="s">
        <v>23</v>
      </c>
      <c r="E130" s="30" t="s">
        <v>23</v>
      </c>
      <c r="F130" s="30" t="s">
        <v>23</v>
      </c>
      <c r="G130" s="30" t="s">
        <v>23</v>
      </c>
      <c r="H130" s="30" t="s">
        <v>23</v>
      </c>
      <c r="I130" s="30" t="s">
        <v>23</v>
      </c>
      <c r="J130" s="30" t="s">
        <v>23</v>
      </c>
      <c r="K130" s="30" t="s">
        <v>23</v>
      </c>
      <c r="L130" s="30" t="s">
        <v>23</v>
      </c>
      <c r="M130" s="30" t="s">
        <v>23</v>
      </c>
      <c r="N130" s="31" t="s">
        <v>23</v>
      </c>
    </row>
    <row r="131" spans="1:14" x14ac:dyDescent="0.35">
      <c r="A131" s="26" t="s">
        <v>223</v>
      </c>
      <c r="B131" s="27" t="s">
        <v>224</v>
      </c>
      <c r="C131" s="28">
        <v>1741</v>
      </c>
      <c r="D131" s="28">
        <v>952</v>
      </c>
      <c r="E131" s="28">
        <v>155</v>
      </c>
      <c r="F131" s="28">
        <v>4709</v>
      </c>
      <c r="G131" s="28">
        <v>21</v>
      </c>
      <c r="H131" s="28">
        <v>10</v>
      </c>
      <c r="I131" s="28" t="s">
        <v>21</v>
      </c>
      <c r="J131" s="28">
        <v>54</v>
      </c>
      <c r="K131" s="28">
        <v>1762</v>
      </c>
      <c r="L131" s="28">
        <v>962</v>
      </c>
      <c r="M131" s="28">
        <v>156</v>
      </c>
      <c r="N131" s="29">
        <v>4763</v>
      </c>
    </row>
    <row r="132" spans="1:14" ht="20.149999999999999" customHeight="1" x14ac:dyDescent="0.35">
      <c r="A132" s="32" t="s">
        <v>225</v>
      </c>
      <c r="B132" s="33"/>
      <c r="C132" s="30" t="s">
        <v>23</v>
      </c>
      <c r="D132" s="30" t="s">
        <v>23</v>
      </c>
      <c r="E132" s="30" t="s">
        <v>23</v>
      </c>
      <c r="F132" s="30" t="s">
        <v>23</v>
      </c>
      <c r="G132" s="30" t="s">
        <v>23</v>
      </c>
      <c r="H132" s="30" t="s">
        <v>23</v>
      </c>
      <c r="I132" s="30" t="s">
        <v>23</v>
      </c>
      <c r="J132" s="30" t="s">
        <v>23</v>
      </c>
      <c r="K132" s="30" t="s">
        <v>23</v>
      </c>
      <c r="L132" s="30" t="s">
        <v>23</v>
      </c>
      <c r="M132" s="30" t="s">
        <v>23</v>
      </c>
      <c r="N132" s="31" t="s">
        <v>23</v>
      </c>
    </row>
    <row r="133" spans="1:14" x14ac:dyDescent="0.35">
      <c r="A133" s="26" t="s">
        <v>226</v>
      </c>
      <c r="B133" s="27" t="s">
        <v>227</v>
      </c>
      <c r="C133" s="28">
        <v>137</v>
      </c>
      <c r="D133" s="28">
        <v>187</v>
      </c>
      <c r="E133" s="28">
        <v>12</v>
      </c>
      <c r="F133" s="28">
        <v>460</v>
      </c>
      <c r="G133" s="28">
        <v>0</v>
      </c>
      <c r="H133" s="28" t="s">
        <v>21</v>
      </c>
      <c r="I133" s="28">
        <v>0</v>
      </c>
      <c r="J133" s="28" t="s">
        <v>21</v>
      </c>
      <c r="K133" s="28">
        <v>137</v>
      </c>
      <c r="L133" s="28">
        <v>188</v>
      </c>
      <c r="M133" s="28">
        <v>12</v>
      </c>
      <c r="N133" s="29">
        <v>462</v>
      </c>
    </row>
    <row r="134" spans="1:14" ht="20.149999999999999" customHeight="1" x14ac:dyDescent="0.35">
      <c r="A134" s="32" t="s">
        <v>228</v>
      </c>
      <c r="B134" s="33"/>
      <c r="C134" s="30" t="s">
        <v>23</v>
      </c>
      <c r="D134" s="30" t="s">
        <v>23</v>
      </c>
      <c r="E134" s="30" t="s">
        <v>23</v>
      </c>
      <c r="F134" s="30" t="s">
        <v>23</v>
      </c>
      <c r="G134" s="30" t="s">
        <v>23</v>
      </c>
      <c r="H134" s="30" t="s">
        <v>23</v>
      </c>
      <c r="I134" s="30" t="s">
        <v>23</v>
      </c>
      <c r="J134" s="30" t="s">
        <v>23</v>
      </c>
      <c r="K134" s="30" t="s">
        <v>23</v>
      </c>
      <c r="L134" s="30" t="s">
        <v>23</v>
      </c>
      <c r="M134" s="30" t="s">
        <v>23</v>
      </c>
      <c r="N134" s="31" t="s">
        <v>23</v>
      </c>
    </row>
    <row r="135" spans="1:14" x14ac:dyDescent="0.35">
      <c r="A135" s="26" t="s">
        <v>229</v>
      </c>
      <c r="B135" s="27" t="s">
        <v>230</v>
      </c>
      <c r="C135" s="28">
        <v>1320</v>
      </c>
      <c r="D135" s="28">
        <v>1249</v>
      </c>
      <c r="E135" s="28">
        <v>89</v>
      </c>
      <c r="F135" s="28">
        <v>2823</v>
      </c>
      <c r="G135" s="28">
        <v>197</v>
      </c>
      <c r="H135" s="28">
        <v>72</v>
      </c>
      <c r="I135" s="28">
        <v>20</v>
      </c>
      <c r="J135" s="28">
        <v>587</v>
      </c>
      <c r="K135" s="28">
        <v>1517</v>
      </c>
      <c r="L135" s="28">
        <v>1321</v>
      </c>
      <c r="M135" s="28">
        <v>109</v>
      </c>
      <c r="N135" s="29">
        <v>3410</v>
      </c>
    </row>
    <row r="136" spans="1:14" ht="20.149999999999999" customHeight="1" x14ac:dyDescent="0.35">
      <c r="A136" s="32" t="s">
        <v>231</v>
      </c>
      <c r="B136" s="33"/>
      <c r="C136" s="30" t="s">
        <v>23</v>
      </c>
      <c r="D136" s="30" t="s">
        <v>23</v>
      </c>
      <c r="E136" s="30" t="s">
        <v>23</v>
      </c>
      <c r="F136" s="30" t="s">
        <v>23</v>
      </c>
      <c r="G136" s="30" t="s">
        <v>23</v>
      </c>
      <c r="H136" s="30" t="s">
        <v>23</v>
      </c>
      <c r="I136" s="30" t="s">
        <v>23</v>
      </c>
      <c r="J136" s="30" t="s">
        <v>23</v>
      </c>
      <c r="K136" s="30" t="s">
        <v>23</v>
      </c>
      <c r="L136" s="30" t="s">
        <v>23</v>
      </c>
      <c r="M136" s="30" t="s">
        <v>23</v>
      </c>
      <c r="N136" s="31" t="s">
        <v>23</v>
      </c>
    </row>
    <row r="137" spans="1:14" x14ac:dyDescent="0.35">
      <c r="A137" s="26" t="s">
        <v>232</v>
      </c>
      <c r="B137" s="34" t="s">
        <v>233</v>
      </c>
      <c r="C137" s="28">
        <v>5411</v>
      </c>
      <c r="D137" s="28">
        <v>3477</v>
      </c>
      <c r="E137" s="28">
        <v>288</v>
      </c>
      <c r="F137" s="28">
        <v>12414</v>
      </c>
      <c r="G137" s="28">
        <v>45</v>
      </c>
      <c r="H137" s="28">
        <v>75</v>
      </c>
      <c r="I137" s="28">
        <v>10</v>
      </c>
      <c r="J137" s="28">
        <v>147</v>
      </c>
      <c r="K137" s="28">
        <v>5456</v>
      </c>
      <c r="L137" s="28">
        <v>3552</v>
      </c>
      <c r="M137" s="28">
        <v>298</v>
      </c>
      <c r="N137" s="29">
        <v>12561</v>
      </c>
    </row>
    <row r="138" spans="1:14" x14ac:dyDescent="0.35">
      <c r="A138" s="26" t="s">
        <v>234</v>
      </c>
      <c r="B138" s="34" t="s">
        <v>235</v>
      </c>
      <c r="C138" s="28">
        <v>311</v>
      </c>
      <c r="D138" s="28">
        <v>177</v>
      </c>
      <c r="E138" s="28">
        <v>20</v>
      </c>
      <c r="F138" s="28">
        <v>705</v>
      </c>
      <c r="G138" s="28">
        <v>0</v>
      </c>
      <c r="H138" s="28">
        <v>0</v>
      </c>
      <c r="I138" s="28" t="s">
        <v>21</v>
      </c>
      <c r="J138" s="28" t="s">
        <v>21</v>
      </c>
      <c r="K138" s="28">
        <v>311</v>
      </c>
      <c r="L138" s="28">
        <v>177</v>
      </c>
      <c r="M138" s="28">
        <v>21</v>
      </c>
      <c r="N138" s="29">
        <v>706</v>
      </c>
    </row>
    <row r="139" spans="1:14" x14ac:dyDescent="0.35">
      <c r="A139" s="26" t="s">
        <v>236</v>
      </c>
      <c r="B139" s="34" t="s">
        <v>237</v>
      </c>
      <c r="C139" s="28">
        <v>531</v>
      </c>
      <c r="D139" s="28">
        <v>340</v>
      </c>
      <c r="E139" s="28">
        <v>50</v>
      </c>
      <c r="F139" s="28">
        <v>1235</v>
      </c>
      <c r="G139" s="28" t="s">
        <v>21</v>
      </c>
      <c r="H139" s="28">
        <v>0</v>
      </c>
      <c r="I139" s="28">
        <v>0</v>
      </c>
      <c r="J139" s="28" t="s">
        <v>21</v>
      </c>
      <c r="K139" s="28">
        <v>532</v>
      </c>
      <c r="L139" s="28">
        <v>340</v>
      </c>
      <c r="M139" s="28">
        <v>50</v>
      </c>
      <c r="N139" s="29">
        <v>1237</v>
      </c>
    </row>
    <row r="140" spans="1:14" ht="20.149999999999999" customHeight="1" x14ac:dyDescent="0.35">
      <c r="A140" s="32" t="s">
        <v>238</v>
      </c>
      <c r="B140" s="33"/>
      <c r="C140" s="30" t="s">
        <v>23</v>
      </c>
      <c r="D140" s="30" t="s">
        <v>23</v>
      </c>
      <c r="E140" s="30" t="s">
        <v>23</v>
      </c>
      <c r="F140" s="30" t="s">
        <v>23</v>
      </c>
      <c r="G140" s="30" t="s">
        <v>23</v>
      </c>
      <c r="H140" s="30" t="s">
        <v>23</v>
      </c>
      <c r="I140" s="30" t="s">
        <v>23</v>
      </c>
      <c r="J140" s="30" t="s">
        <v>23</v>
      </c>
      <c r="K140" s="30" t="s">
        <v>23</v>
      </c>
      <c r="L140" s="30" t="s">
        <v>23</v>
      </c>
      <c r="M140" s="30" t="s">
        <v>23</v>
      </c>
      <c r="N140" s="31" t="s">
        <v>23</v>
      </c>
    </row>
    <row r="141" spans="1:14" x14ac:dyDescent="0.35">
      <c r="A141" s="26" t="s">
        <v>202</v>
      </c>
      <c r="B141" s="34" t="s">
        <v>239</v>
      </c>
      <c r="C141" s="28">
        <v>0</v>
      </c>
      <c r="D141" s="28">
        <v>0</v>
      </c>
      <c r="E141" s="28">
        <v>0</v>
      </c>
      <c r="F141" s="28">
        <v>0</v>
      </c>
      <c r="G141" s="28">
        <v>0</v>
      </c>
      <c r="H141" s="28">
        <v>0</v>
      </c>
      <c r="I141" s="28">
        <v>0</v>
      </c>
      <c r="J141" s="28">
        <v>0</v>
      </c>
      <c r="K141" s="28">
        <v>0</v>
      </c>
      <c r="L141" s="28">
        <v>0</v>
      </c>
      <c r="M141" s="28">
        <v>0</v>
      </c>
      <c r="N141" s="29">
        <v>0</v>
      </c>
    </row>
    <row r="142" spans="1:14" ht="20.149999999999999" customHeight="1" x14ac:dyDescent="0.35">
      <c r="A142" s="32" t="s">
        <v>240</v>
      </c>
      <c r="B142" s="33"/>
      <c r="C142" s="30" t="s">
        <v>23</v>
      </c>
      <c r="D142" s="30" t="s">
        <v>23</v>
      </c>
      <c r="E142" s="30" t="s">
        <v>23</v>
      </c>
      <c r="F142" s="30" t="s">
        <v>23</v>
      </c>
      <c r="G142" s="30" t="s">
        <v>23</v>
      </c>
      <c r="H142" s="30" t="s">
        <v>23</v>
      </c>
      <c r="I142" s="30" t="s">
        <v>23</v>
      </c>
      <c r="J142" s="30" t="s">
        <v>23</v>
      </c>
      <c r="K142" s="30" t="s">
        <v>23</v>
      </c>
      <c r="L142" s="30" t="s">
        <v>23</v>
      </c>
      <c r="M142" s="30" t="s">
        <v>23</v>
      </c>
      <c r="N142" s="31" t="s">
        <v>23</v>
      </c>
    </row>
    <row r="143" spans="1:14" x14ac:dyDescent="0.35">
      <c r="A143" s="26" t="s">
        <v>241</v>
      </c>
      <c r="B143" s="27" t="s">
        <v>242</v>
      </c>
      <c r="C143" s="28">
        <v>1460</v>
      </c>
      <c r="D143" s="28">
        <v>797</v>
      </c>
      <c r="E143" s="28">
        <v>122</v>
      </c>
      <c r="F143" s="28">
        <v>3477</v>
      </c>
      <c r="G143" s="28" t="s">
        <v>21</v>
      </c>
      <c r="H143" s="28" t="s">
        <v>21</v>
      </c>
      <c r="I143" s="28" t="s">
        <v>21</v>
      </c>
      <c r="J143" s="28">
        <v>14</v>
      </c>
      <c r="K143" s="28">
        <v>1468</v>
      </c>
      <c r="L143" s="28">
        <v>801</v>
      </c>
      <c r="M143" s="28">
        <v>124</v>
      </c>
      <c r="N143" s="29">
        <v>3491</v>
      </c>
    </row>
    <row r="144" spans="1:14" ht="20.149999999999999" customHeight="1" x14ac:dyDescent="0.35">
      <c r="A144" s="37" t="s">
        <v>243</v>
      </c>
      <c r="B144" s="38"/>
      <c r="C144" s="39" t="s">
        <v>23</v>
      </c>
      <c r="D144" s="39" t="s">
        <v>23</v>
      </c>
      <c r="E144" s="39" t="s">
        <v>23</v>
      </c>
      <c r="F144" s="39" t="s">
        <v>23</v>
      </c>
      <c r="G144" s="39" t="s">
        <v>23</v>
      </c>
      <c r="H144" s="39" t="s">
        <v>23</v>
      </c>
      <c r="I144" s="39" t="s">
        <v>23</v>
      </c>
      <c r="J144" s="39" t="s">
        <v>23</v>
      </c>
      <c r="K144" s="39" t="s">
        <v>23</v>
      </c>
      <c r="L144" s="39" t="s">
        <v>23</v>
      </c>
      <c r="M144" s="39" t="s">
        <v>23</v>
      </c>
      <c r="N144" s="40" t="s">
        <v>23</v>
      </c>
    </row>
    <row r="145" spans="1:14" ht="20.149999999999999" customHeight="1" x14ac:dyDescent="0.35">
      <c r="A145" s="32" t="s">
        <v>244</v>
      </c>
      <c r="B145" s="41"/>
      <c r="C145" s="42" t="s">
        <v>23</v>
      </c>
      <c r="D145" s="42" t="s">
        <v>23</v>
      </c>
      <c r="E145" s="42" t="s">
        <v>23</v>
      </c>
      <c r="F145" s="42" t="s">
        <v>23</v>
      </c>
      <c r="G145" s="42" t="s">
        <v>23</v>
      </c>
      <c r="H145" s="42" t="s">
        <v>23</v>
      </c>
      <c r="I145" s="42" t="s">
        <v>23</v>
      </c>
      <c r="J145" s="42" t="s">
        <v>23</v>
      </c>
      <c r="K145" s="42" t="s">
        <v>23</v>
      </c>
      <c r="L145" s="42" t="s">
        <v>23</v>
      </c>
      <c r="M145" s="42" t="s">
        <v>23</v>
      </c>
      <c r="N145" s="43" t="s">
        <v>23</v>
      </c>
    </row>
    <row r="146" spans="1:14" x14ac:dyDescent="0.35">
      <c r="A146" s="26" t="s">
        <v>245</v>
      </c>
      <c r="B146" s="27" t="s">
        <v>246</v>
      </c>
      <c r="C146" s="28">
        <v>300</v>
      </c>
      <c r="D146" s="28">
        <v>331</v>
      </c>
      <c r="E146" s="28" t="s">
        <v>21</v>
      </c>
      <c r="F146" s="28">
        <v>540</v>
      </c>
      <c r="G146" s="28">
        <v>10</v>
      </c>
      <c r="H146" s="28" t="s">
        <v>21</v>
      </c>
      <c r="I146" s="28">
        <v>0</v>
      </c>
      <c r="J146" s="28">
        <v>17</v>
      </c>
      <c r="K146" s="28">
        <v>310</v>
      </c>
      <c r="L146" s="28">
        <v>333</v>
      </c>
      <c r="M146" s="28" t="s">
        <v>21</v>
      </c>
      <c r="N146" s="29">
        <v>557</v>
      </c>
    </row>
    <row r="147" spans="1:14" ht="20.149999999999999" customHeight="1" x14ac:dyDescent="0.35">
      <c r="A147" s="32" t="s">
        <v>247</v>
      </c>
      <c r="B147" s="33"/>
      <c r="C147" s="30" t="s">
        <v>23</v>
      </c>
      <c r="D147" s="30" t="s">
        <v>23</v>
      </c>
      <c r="E147" s="30" t="s">
        <v>23</v>
      </c>
      <c r="F147" s="30" t="s">
        <v>23</v>
      </c>
      <c r="G147" s="30" t="s">
        <v>23</v>
      </c>
      <c r="H147" s="30" t="s">
        <v>23</v>
      </c>
      <c r="I147" s="30" t="s">
        <v>23</v>
      </c>
      <c r="J147" s="30" t="s">
        <v>23</v>
      </c>
      <c r="K147" s="30" t="s">
        <v>23</v>
      </c>
      <c r="L147" s="30" t="s">
        <v>23</v>
      </c>
      <c r="M147" s="30" t="s">
        <v>23</v>
      </c>
      <c r="N147" s="31" t="s">
        <v>23</v>
      </c>
    </row>
    <row r="148" spans="1:14" x14ac:dyDescent="0.35">
      <c r="A148" s="26" t="s">
        <v>248</v>
      </c>
      <c r="B148" s="34" t="s">
        <v>249</v>
      </c>
      <c r="C148" s="28">
        <v>49</v>
      </c>
      <c r="D148" s="28">
        <v>70</v>
      </c>
      <c r="E148" s="28">
        <v>11</v>
      </c>
      <c r="F148" s="28">
        <v>95</v>
      </c>
      <c r="G148" s="28">
        <v>0</v>
      </c>
      <c r="H148" s="28" t="s">
        <v>21</v>
      </c>
      <c r="I148" s="28">
        <v>0</v>
      </c>
      <c r="J148" s="28" t="s">
        <v>21</v>
      </c>
      <c r="K148" s="28">
        <v>49</v>
      </c>
      <c r="L148" s="28">
        <v>71</v>
      </c>
      <c r="M148" s="28">
        <v>11</v>
      </c>
      <c r="N148" s="29">
        <v>97</v>
      </c>
    </row>
    <row r="149" spans="1:14" x14ac:dyDescent="0.35">
      <c r="A149" s="26" t="s">
        <v>250</v>
      </c>
      <c r="B149" s="34" t="s">
        <v>251</v>
      </c>
      <c r="C149" s="28">
        <v>43</v>
      </c>
      <c r="D149" s="28">
        <v>0</v>
      </c>
      <c r="E149" s="28">
        <v>0</v>
      </c>
      <c r="F149" s="28">
        <v>130</v>
      </c>
      <c r="G149" s="28">
        <v>0</v>
      </c>
      <c r="H149" s="28">
        <v>0</v>
      </c>
      <c r="I149" s="28">
        <v>0</v>
      </c>
      <c r="J149" s="28">
        <v>0</v>
      </c>
      <c r="K149" s="28">
        <v>43</v>
      </c>
      <c r="L149" s="28">
        <v>0</v>
      </c>
      <c r="M149" s="28">
        <v>0</v>
      </c>
      <c r="N149" s="29">
        <v>130</v>
      </c>
    </row>
    <row r="150" spans="1:14" ht="20.149999999999999" customHeight="1" x14ac:dyDescent="0.35">
      <c r="A150" s="32" t="s">
        <v>252</v>
      </c>
      <c r="B150" s="33"/>
      <c r="C150" s="30" t="s">
        <v>23</v>
      </c>
      <c r="D150" s="30" t="s">
        <v>23</v>
      </c>
      <c r="E150" s="30" t="s">
        <v>23</v>
      </c>
      <c r="F150" s="30" t="s">
        <v>23</v>
      </c>
      <c r="G150" s="30" t="s">
        <v>23</v>
      </c>
      <c r="H150" s="30" t="s">
        <v>23</v>
      </c>
      <c r="I150" s="30" t="s">
        <v>23</v>
      </c>
      <c r="J150" s="30" t="s">
        <v>23</v>
      </c>
      <c r="K150" s="30" t="s">
        <v>23</v>
      </c>
      <c r="L150" s="30" t="s">
        <v>23</v>
      </c>
      <c r="M150" s="30" t="s">
        <v>23</v>
      </c>
      <c r="N150" s="31" t="s">
        <v>23</v>
      </c>
    </row>
    <row r="151" spans="1:14" ht="15" thickBot="1" x14ac:dyDescent="0.4">
      <c r="A151" s="44" t="s">
        <v>253</v>
      </c>
      <c r="B151" s="45" t="s">
        <v>254</v>
      </c>
      <c r="C151" s="46">
        <v>612</v>
      </c>
      <c r="D151" s="46">
        <v>405</v>
      </c>
      <c r="E151" s="46">
        <v>37</v>
      </c>
      <c r="F151" s="46">
        <v>935</v>
      </c>
      <c r="G151" s="46" t="s">
        <v>21</v>
      </c>
      <c r="H151" s="46" t="s">
        <v>21</v>
      </c>
      <c r="I151" s="46">
        <v>0</v>
      </c>
      <c r="J151" s="46">
        <v>0</v>
      </c>
      <c r="K151" s="46">
        <v>613</v>
      </c>
      <c r="L151" s="46">
        <v>406</v>
      </c>
      <c r="M151" s="46">
        <v>37</v>
      </c>
      <c r="N151" s="47">
        <v>935</v>
      </c>
    </row>
    <row r="152" spans="1:14" ht="25.5" customHeight="1" x14ac:dyDescent="0.35">
      <c r="A152" s="48" t="s">
        <v>255</v>
      </c>
      <c r="B152" s="49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</row>
    <row r="153" spans="1:14" x14ac:dyDescent="0.35">
      <c r="A153" s="51" t="s">
        <v>256</v>
      </c>
      <c r="B153" s="49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</row>
    <row r="154" spans="1:14" x14ac:dyDescent="0.35">
      <c r="A154" s="52" t="s">
        <v>257</v>
      </c>
      <c r="B154" s="53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</row>
    <row r="155" spans="1:14" ht="28.9" customHeight="1" x14ac:dyDescent="0.35">
      <c r="A155" s="55" t="s">
        <v>258</v>
      </c>
      <c r="B155" s="56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</row>
    <row r="156" spans="1:14" ht="14.65" customHeight="1" x14ac:dyDescent="0.35">
      <c r="A156" s="57" t="s">
        <v>259</v>
      </c>
      <c r="B156" s="58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</row>
    <row r="157" spans="1:14" x14ac:dyDescent="0.35">
      <c r="A157" s="57" t="s">
        <v>260</v>
      </c>
      <c r="B157" s="60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</row>
    <row r="158" spans="1:14" x14ac:dyDescent="0.35">
      <c r="A158" s="57" t="s">
        <v>261</v>
      </c>
      <c r="B158" s="60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</row>
    <row r="159" spans="1:14" x14ac:dyDescent="0.35">
      <c r="A159" s="57" t="s">
        <v>262</v>
      </c>
      <c r="B159" s="60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</row>
    <row r="160" spans="1:14" x14ac:dyDescent="0.35">
      <c r="A160" s="57" t="s">
        <v>263</v>
      </c>
      <c r="B160" s="60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</row>
    <row r="161" spans="1:14" x14ac:dyDescent="0.35">
      <c r="A161" s="57" t="s">
        <v>264</v>
      </c>
      <c r="B161" s="60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</row>
    <row r="162" spans="1:14" x14ac:dyDescent="0.35">
      <c r="A162" s="50" t="s">
        <v>265</v>
      </c>
      <c r="B162" s="49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</row>
    <row r="163" spans="1:14" ht="28.9" customHeight="1" x14ac:dyDescent="0.35">
      <c r="A163" s="61" t="s">
        <v>266</v>
      </c>
      <c r="B163" s="62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</row>
    <row r="164" spans="1:14" x14ac:dyDescent="0.35">
      <c r="A164" s="57" t="s">
        <v>267</v>
      </c>
      <c r="B164" s="60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</row>
    <row r="165" spans="1:14" x14ac:dyDescent="0.35">
      <c r="A165" s="57" t="s">
        <v>268</v>
      </c>
      <c r="B165" s="60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</row>
    <row r="166" spans="1:14" x14ac:dyDescent="0.35">
      <c r="A166" s="57" t="s">
        <v>269</v>
      </c>
      <c r="B166" s="60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</row>
    <row r="167" spans="1:14" x14ac:dyDescent="0.35">
      <c r="A167" s="57" t="s">
        <v>270</v>
      </c>
      <c r="B167" s="60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</row>
    <row r="168" spans="1:14" x14ac:dyDescent="0.35">
      <c r="A168" s="57" t="s">
        <v>271</v>
      </c>
      <c r="B168" s="60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</row>
    <row r="169" spans="1:14" x14ac:dyDescent="0.35">
      <c r="A169" s="57" t="s">
        <v>272</v>
      </c>
      <c r="B169" s="60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</row>
    <row r="170" spans="1:14" ht="28.9" customHeight="1" x14ac:dyDescent="0.35">
      <c r="A170" s="61" t="s">
        <v>273</v>
      </c>
      <c r="B170" s="62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</row>
    <row r="171" spans="1:14" x14ac:dyDescent="0.35">
      <c r="A171" s="63" t="s">
        <v>274</v>
      </c>
      <c r="B171" s="60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</row>
    <row r="172" spans="1:14" x14ac:dyDescent="0.35">
      <c r="A172" s="57" t="s">
        <v>275</v>
      </c>
      <c r="B172" s="60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</row>
  </sheetData>
  <mergeCells count="5">
    <mergeCell ref="C4:N4"/>
    <mergeCell ref="A5:B5"/>
    <mergeCell ref="C5:F5"/>
    <mergeCell ref="G5:J5"/>
    <mergeCell ref="K5:N5"/>
  </mergeCells>
  <conditionalFormatting sqref="C122:I122 K122:N122">
    <cfRule type="cellIs" dxfId="3" priority="3" operator="between">
      <formula>1</formula>
      <formula>9</formula>
    </cfRule>
  </conditionalFormatting>
  <conditionalFormatting sqref="C139:I139 K139:N139">
    <cfRule type="cellIs" dxfId="2" priority="2" operator="between">
      <formula>1</formula>
      <formula>9</formula>
    </cfRule>
  </conditionalFormatting>
  <conditionalFormatting sqref="C9:N151">
    <cfRule type="cellIs" dxfId="1" priority="1" operator="between">
      <formula>1</formula>
      <formula>9</formula>
    </cfRule>
  </conditionalFormatting>
  <conditionalFormatting sqref="D9:N9">
    <cfRule type="cellIs" dxfId="0" priority="4" operator="between">
      <formula>1</formula>
      <formula>9</formula>
    </cfRule>
  </conditionalFormatting>
  <pageMargins left="0.25" right="0.25" top="0.75" bottom="0.75" header="0.3" footer="0.3"/>
  <pageSetup scale="55" fitToHeight="3"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N400_FY26Q1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N‐400, Application for Naturalization, by Category of Naturalization, Case Status, and USCIS Field Office Location (Fiscal Year 2026, Quarter 1)</dc:title>
  <dc:subject>Contains quarterly data on military and non-military naturalization applications. It displays the number of applications received, approved, denied, and pending by category, quarter of fiscal year, and office. </dc:subject>
  <dc:creator>Chang, Tiffany Y</dc:creator>
  <cp:keywords>N-400</cp:keywords>
  <cp:lastModifiedBy>Kamerow, David S (Dave)</cp:lastModifiedBy>
  <dcterms:created xsi:type="dcterms:W3CDTF">2026-01-26T20:55:40Z</dcterms:created>
  <dcterms:modified xsi:type="dcterms:W3CDTF">2026-03-30T22:45:11Z</dcterms:modified>
</cp:coreProperties>
</file>